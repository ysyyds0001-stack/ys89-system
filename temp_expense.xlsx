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S-錢包紀錄" sheetId="1" r:id="rId4"/>
    <sheet state="visible" name="業主報表" sheetId="2" r:id="rId5"/>
    <sheet state="visible" name="月度費用趨勢" sheetId="3" r:id="rId6"/>
    <sheet state="visible" name="YS台幣支付項目" sheetId="4" r:id="rId7"/>
  </sheets>
  <definedNames/>
  <calcPr/>
  <extLst>
    <ext uri="GoogleSheetsCustomDataVersion2">
      <go:sheetsCustomData xmlns:go="http://customooxmlschemas.google.com/" r:id="rId8" roundtripDataChecksum="nTw/nRLu3Wksi2oxCktIhmix19cc85ZJFuQNKgD6L/M="/>
    </ext>
  </extLst>
</workbook>
</file>

<file path=xl/sharedStrings.xml><?xml version="1.0" encoding="utf-8"?>
<sst xmlns="http://schemas.openxmlformats.org/spreadsheetml/2006/main" count="714" uniqueCount="174">
  <si>
    <t>YS 使用明細 — 錢包流水帳</t>
  </si>
  <si>
    <t>匯率設定</t>
  </si>
  <si>
    <t>1 USDT =</t>
  </si>
  <si>
    <t>TWD</t>
  </si>
  <si>
    <t>日期</t>
  </si>
  <si>
    <t>分類</t>
  </si>
  <si>
    <t>說明</t>
  </si>
  <si>
    <t>費用性質</t>
  </si>
  <si>
    <t>儲值(U)</t>
  </si>
  <si>
    <t>Topup Fee</t>
  </si>
  <si>
    <t>支出(U)</t>
  </si>
  <si>
    <t>餘額(U)</t>
  </si>
  <si>
    <t>儲值(TWD)</t>
  </si>
  <si>
    <t>支出(TWD)</t>
  </si>
  <si>
    <t>餘額(TWD)</t>
  </si>
  <si>
    <t>確認</t>
  </si>
  <si>
    <t>◀ 2025年 11月 ▶</t>
  </si>
  <si>
    <t>儲U</t>
  </si>
  <si>
    <t>儲值</t>
  </si>
  <si>
    <t>v</t>
  </si>
  <si>
    <t>開卡費</t>
  </si>
  <si>
    <t>一次性</t>
  </si>
  <si>
    <t>網域/域名</t>
  </si>
  <si>
    <t>購買網域YS89.com</t>
  </si>
  <si>
    <t>平台手續費</t>
  </si>
  <si>
    <t>平台手續費（Topup / Transaction）</t>
  </si>
  <si>
    <t>變動</t>
  </si>
  <si>
    <t>Cursor</t>
  </si>
  <si>
    <t>Cursor Pro 月費</t>
  </si>
  <si>
    <t>── 2025年11月 小計 ──</t>
  </si>
  <si>
    <t>◀ 2025年 12月 ▶</t>
  </si>
  <si>
    <t>網域YS89.win-$17.51</t>
  </si>
  <si>
    <t>網域YS89.bet-$24.49 主站</t>
  </si>
  <si>
    <t>網域YS89.fun-$12.48 論壇</t>
  </si>
  <si>
    <t>CursorCursor Token 使用費</t>
  </si>
  <si>
    <t>── 2025年12月 小計 ──</t>
  </si>
  <si>
    <t>◀ 2026年 01月 ▶</t>
  </si>
  <si>
    <t>Cloudways</t>
  </si>
  <si>
    <t>Cloudways 月費</t>
  </si>
  <si>
    <t>固定</t>
  </si>
  <si>
    <t>購買網域16888win.com</t>
  </si>
  <si>
    <t>Livechat</t>
  </si>
  <si>
    <t>livechat 月費-帳號</t>
  </si>
  <si>
    <t>livechat 聊天機器人-訂閱</t>
  </si>
  <si>
    <t>Zeabur</t>
  </si>
  <si>
    <t>Zeabur 月費</t>
  </si>
  <si>
    <t>Cursor usage dec</t>
  </si>
  <si>
    <t>── 2026年01月 小計 ──</t>
  </si>
  <si>
    <t>◀ 2026年 02月 ▶</t>
  </si>
  <si>
    <t>livechat 聊天機器人-帳號</t>
  </si>
  <si>
    <t>── 2026年02月 小計 ──</t>
  </si>
  <si>
    <t>◀ 2026年 03月 ▶</t>
  </si>
  <si>
    <t>TopupFee</t>
  </si>
  <si>
    <t>Surfshark</t>
  </si>
  <si>
    <t>SURFSHARK-vpn訂閱/年</t>
  </si>
  <si>
    <t>SURFSHARK-vpn IP/年</t>
  </si>
  <si>
    <t>SURFSHARK（Topup / Transaction）</t>
  </si>
  <si>
    <t>livechat 月費</t>
  </si>
  <si>
    <t>TransactionFee</t>
  </si>
  <si>
    <t>── 2026年03月 小計 ──</t>
  </si>
  <si>
    <t>◀ 2026年 04月 ▶</t>
  </si>
  <si>
    <t>Google Cloud</t>
  </si>
  <si>
    <t>GOOGLE *CLOUD</t>
  </si>
  <si>
    <t>livechat 月費(增加席位)</t>
  </si>
  <si>
    <t>GOOGLE *SERVICES</t>
  </si>
  <si>
    <t>Tron</t>
  </si>
  <si>
    <t>── 2026年04月 小計 ──</t>
  </si>
  <si>
    <t>◀ 2026年 05月 ▶</t>
  </si>
  <si>
    <t>網域ys89.me 7.27 U</t>
  </si>
  <si>
    <t>網域ys89.info 5.68 U</t>
  </si>
  <si>
    <t>網域ys89.biz 12.03 U</t>
  </si>
  <si>
    <t>網域ys89.games 10.00 U</t>
  </si>
  <si>
    <t>WEBSHARE</t>
  </si>
  <si>
    <t>WEBSHARE-10條IP(新加坡*5香港*5)</t>
  </si>
  <si>
    <t>網域fifa-worldcups.tw 世足棧</t>
  </si>
  <si>
    <t>網域hipgreenscene.com(20+網址)</t>
  </si>
  <si>
    <t>網域deckmatt.com(20+網址)</t>
  </si>
  <si>
    <t>網域adviseist.com(20+網址)</t>
  </si>
  <si>
    <t>網域worldgoals.live 直播</t>
  </si>
  <si>
    <t>網域https://pansurihotel.com PBN站 給世足賽跟主論壇提升排名用</t>
  </si>
  <si>
    <t>網域http://plainjanedesigners.com/ PBN站 給世足賽跟主論壇提升排名用</t>
  </si>
  <si>
    <t>網域bolalive77.com PBN站 給世足賽跟主論壇提升排名用</t>
  </si>
  <si>
    <t>短網址</t>
  </si>
  <si>
    <t>LI HAI</t>
  </si>
  <si>
    <t>ys89.tw 品牌A站 目標建立 轉換</t>
  </si>
  <si>
    <t>ys89tw.com 品牌b站 目標建立 信任</t>
  </si>
  <si>
    <t>168ys89.com 品牌C站 佔領其他關鍵字(待確認)</t>
  </si>
  <si>
    <t>── 2026年05月 小計 ──</t>
  </si>
  <si>
    <t>■ 全期合計</t>
  </si>
  <si>
    <t>⚠ 餘額預警：紅底 &lt; 100U   橙底 &lt; 300U   ｜   費用性質：固定=月租訂閱、變動=用量計費、一次性=買斷/年費</t>
  </si>
  <si>
    <t>全期合計</t>
  </si>
  <si>
    <t>YS 業主費用報表</t>
  </si>
  <si>
    <t>統計期間：2025-11 ～ 2026-05　　幣別：USDT　　匯率：1 USDT = 32 TWD　　製表日：2026-05-24</t>
  </si>
  <si>
    <t>▌ 一、儲值記錄</t>
  </si>
  <si>
    <t>儲值日期</t>
  </si>
  <si>
    <t>儲值金額(U)</t>
  </si>
  <si>
    <t>折算台幣(TWD)</t>
  </si>
  <si>
    <t>備註</t>
  </si>
  <si>
    <t>USDT 充值</t>
  </si>
  <si>
    <t>合計</t>
  </si>
  <si>
    <t>▌ 二、費用分類彙總（不含平台手續費）</t>
  </si>
  <si>
    <t>服務/App</t>
  </si>
  <si>
    <t>費用說明</t>
  </si>
  <si>
    <t>筆數</t>
  </si>
  <si>
    <t>總金額(U)</t>
  </si>
  <si>
    <t>總金額(TWD)</t>
  </si>
  <si>
    <t>佔比</t>
  </si>
  <si>
    <t>AI 程式開發工具（訂閱+用量）</t>
  </si>
  <si>
    <t>雲端主機/伺服器 (月租)</t>
  </si>
  <si>
    <t>線上客服系統 (月租+席位)</t>
  </si>
  <si>
    <t>應用程式部署平台 (月租)</t>
  </si>
  <si>
    <t>VPN 服務 (年費)</t>
  </si>
  <si>
    <t>網域名稱購買/續費</t>
  </si>
  <si>
    <t>Google 雲端服務</t>
  </si>
  <si>
    <t>代理 IP 服務</t>
  </si>
  <si>
    <t>Tron 區塊鏈費用</t>
  </si>
  <si>
    <t>LIHI</t>
  </si>
  <si>
    <t>短連結/綁網域用</t>
  </si>
  <si>
    <t>虛擬卡開卡費用</t>
  </si>
  <si>
    <t>總計支出（不含手續費）</t>
  </si>
  <si>
    <t>（另計）平台手續費</t>
  </si>
  <si>
    <t>現金淨結餘 (儲值 − 總支出 − 手續費)</t>
  </si>
  <si>
    <t>▌ 三、逐月費用明細（按分類展開）</t>
  </si>
  <si>
    <t>金額(U)</t>
  </si>
  <si>
    <t>金額(TWD)</t>
  </si>
  <si>
    <t>── 2025年 11月 ──</t>
  </si>
  <si>
    <t>── 2025年 12月 ──</t>
  </si>
  <si>
    <t>── 2026年 01月 ──</t>
  </si>
  <si>
    <t>── 2026年 02月 ──</t>
  </si>
  <si>
    <t>── 2026年 03月 ──</t>
  </si>
  <si>
    <t>── 2026年 04月 ──</t>
  </si>
  <si>
    <t>── 2026年 05月 ──</t>
  </si>
  <si>
    <t>月度費用趨勢統計表</t>
  </si>
  <si>
    <t>各服務月度支出（U）| 不含平台手續費 | 灰色=無支出</t>
  </si>
  <si>
    <t>2025/11</t>
  </si>
  <si>
    <t>2025/12</t>
  </si>
  <si>
    <t>2026/01</t>
  </si>
  <si>
    <t>2026/02</t>
  </si>
  <si>
    <t>2026/03</t>
  </si>
  <si>
    <t>2026/04</t>
  </si>
  <si>
    <t>2026/05</t>
  </si>
  <si>
    <t>月度合計</t>
  </si>
  <si>
    <t>月度合計(TWD)</t>
  </si>
  <si>
    <t>1U = 32 TWD</t>
  </si>
  <si>
    <t>YS 台幣支付費用 — 換算 USDT 請款表</t>
  </si>
  <si>
    <t>台幣固定費用每月換算 USDT，匯率 1 USDT = 32 TWD</t>
  </si>
  <si>
    <t>▌ 一、台幣固定費用項目（月費）</t>
  </si>
  <si>
    <t>費用項目</t>
  </si>
  <si>
    <t>說明/備註</t>
  </si>
  <si>
    <t>支付方式</t>
  </si>
  <si>
    <t>月費(TWD)</t>
  </si>
  <si>
    <t>換算(U)</t>
  </si>
  <si>
    <t>計算說明</t>
  </si>
  <si>
    <t>電信費</t>
  </si>
  <si>
    <t>待填入電信商名稱</t>
  </si>
  <si>
    <t>台幣直付</t>
  </si>
  <si>
    <t>2,145 ÷ 32 = 67.03 U</t>
  </si>
  <si>
    <t>App使用費</t>
  </si>
  <si>
    <t>名稱待確認</t>
  </si>
  <si>
    <t>待填</t>
  </si>
  <si>
    <t>確認金額後填入，並計算 ÷ 32</t>
  </si>
  <si>
    <t>月度合計（暫）</t>
  </si>
  <si>
    <t>App費確認後更新</t>
  </si>
  <si>
    <t>▌ 二、月度請款記錄</t>
  </si>
  <si>
    <t>年份</t>
  </si>
  <si>
    <t>月份</t>
  </si>
  <si>
    <t>電信費(TWD)</t>
  </si>
  <si>
    <t>App費(TWD)</t>
  </si>
  <si>
    <t>合計(TWD)</t>
  </si>
  <si>
    <t>合計(U)</t>
  </si>
  <si>
    <t>請款狀態</t>
  </si>
  <si>
    <t>待請款</t>
  </si>
  <si>
    <t>App費待確認</t>
  </si>
  <si>
    <t>★ 說明：D欄填電信費、E欄填App費 → F欄自行加總 → G欄 = F欄 ÷ 32（USDT請款金額）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</si>
</sst>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-dd"/>
    <numFmt numFmtId="165" formatCode="yyyy\-mm\-dd"/>
    <numFmt numFmtId="166" formatCode="0.0%"/>
  </numFmts>
  <fonts count="42">
    <font>
      <sz val="11.0"/>
      <color theme="1"/>
      <name val="Calibri"/>
      <scheme val="minor"/>
    </font>
    <font>
      <b/>
      <sz val="13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rgb="FFFFFFFF"/>
      <name val="Arial"/>
    </font>
    <font>
      <b/>
      <sz val="11.0"/>
      <color rgb="FFFFD700"/>
      <name val="Arial"/>
    </font>
    <font>
      <b/>
      <sz val="10.0"/>
      <color rgb="FFFFD700"/>
      <name val="Arial"/>
    </font>
    <font>
      <b/>
      <sz val="10.0"/>
      <color rgb="FFFFFFFF"/>
      <name val="Arial"/>
    </font>
    <font>
      <b/>
      <sz val="9.0"/>
      <color rgb="FF1F3864"/>
      <name val="Arial"/>
    </font>
    <font>
      <color theme="1"/>
      <name val="Calibri"/>
      <scheme val="minor"/>
    </font>
    <font>
      <sz val="10.0"/>
      <color rgb="FF000000"/>
      <name val="Arial"/>
    </font>
    <font>
      <sz val="9.0"/>
      <color rgb="FF000000"/>
      <name val="Arial"/>
    </font>
    <font>
      <sz val="9.0"/>
      <color rgb="FF595959"/>
      <name val="Arial"/>
    </font>
    <font>
      <b/>
      <sz val="10.0"/>
      <color rgb="FF1E7145"/>
      <name val="Arial"/>
    </font>
    <font>
      <sz val="11.0"/>
      <color theme="1"/>
      <name val="PMingLiu"/>
    </font>
    <font>
      <b/>
      <sz val="10.0"/>
      <color rgb="FF000000"/>
      <name val="Arial"/>
    </font>
    <font>
      <sz val="10.0"/>
      <color rgb="FF1F3864"/>
      <name val="Arial"/>
    </font>
    <font>
      <b/>
      <sz val="10.0"/>
      <color rgb="FF2F5496"/>
      <name val="Arial"/>
    </font>
    <font>
      <b/>
      <sz val="10.0"/>
      <color rgb="FFC55A11"/>
      <name val="Arial"/>
    </font>
    <font>
      <i/>
      <sz val="9.0"/>
      <color rgb="FF000000"/>
      <name val="Arial"/>
    </font>
    <font>
      <i/>
      <sz val="10.0"/>
      <color rgb="FFC00000"/>
      <name val="Arial"/>
    </font>
    <font>
      <sz val="10.0"/>
      <color rgb="FFC00000"/>
      <name val="Arial"/>
    </font>
    <font>
      <b/>
      <i/>
      <sz val="9.0"/>
      <color rgb="FF2F5496"/>
      <name val="Arial"/>
    </font>
    <font>
      <b/>
      <sz val="10.0"/>
      <color rgb="FF1F3864"/>
      <name val="Arial"/>
    </font>
    <font>
      <b/>
      <sz val="9.0"/>
      <color rgb="FF595959"/>
      <name val="Arial"/>
    </font>
    <font>
      <b/>
      <sz val="10.0"/>
      <color rgb="FFC00000"/>
      <name val="Arial"/>
    </font>
    <font>
      <b/>
      <sz val="11.0"/>
      <color rgb="FFFFFFFF"/>
      <name val="Arial"/>
    </font>
    <font>
      <i/>
      <sz val="8.0"/>
      <color rgb="FF595959"/>
      <name val="Arial"/>
    </font>
    <font>
      <b/>
      <sz val="11.0"/>
      <color theme="1"/>
      <name val="Calibri"/>
    </font>
    <font>
      <b/>
      <sz val="15.0"/>
      <color rgb="FFFFFFFF"/>
      <name val="Arial"/>
    </font>
    <font/>
    <font>
      <b/>
      <color theme="1"/>
      <name val="Arial"/>
    </font>
    <font>
      <b/>
      <sz val="11.0"/>
      <color rgb="FF000000"/>
      <name val="Arial"/>
    </font>
    <font>
      <b/>
      <sz val="11.0"/>
      <color rgb="FFC00000"/>
      <name val="Arial"/>
    </font>
    <font>
      <i/>
      <sz val="9.0"/>
      <color rgb="FF595959"/>
      <name val="Arial"/>
    </font>
    <font>
      <b/>
      <sz val="9.0"/>
      <color rgb="FF000000"/>
      <name val="Arial"/>
    </font>
    <font>
      <sz val="10.0"/>
      <color rgb="FF595959"/>
      <name val="Arial"/>
    </font>
    <font>
      <i/>
      <sz val="9.0"/>
      <color rgb="FF888888"/>
      <name val="Arial"/>
    </font>
    <font>
      <i/>
      <sz val="9.0"/>
      <color rgb="FF555555"/>
      <name val="Arial"/>
    </font>
    <font>
      <i/>
      <sz val="9.0"/>
      <color rgb="FFAAAAAA"/>
      <name val="Arial"/>
    </font>
    <font>
      <b/>
      <sz val="9.0"/>
      <color rgb="FFC55A11"/>
      <name val="Arial"/>
    </font>
    <font>
      <i/>
      <sz val="8.0"/>
      <color rgb="FF666666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E7145"/>
        <bgColor rgb="FF1E7145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FFE0E0"/>
        <bgColor rgb="FFFFE0E0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1BEE7"/>
        <bgColor rgb="FFE1BEE7"/>
      </patternFill>
    </fill>
    <fill>
      <patternFill patternType="solid">
        <fgColor rgb="FFFCE4EC"/>
        <bgColor rgb="FFFCE4EC"/>
      </patternFill>
    </fill>
    <fill>
      <patternFill patternType="solid">
        <fgColor rgb="FFC5CAE9"/>
        <bgColor rgb="FFC5CAE9"/>
      </patternFill>
    </fill>
    <fill>
      <patternFill patternType="solid">
        <fgColor rgb="FFF8BBD0"/>
        <bgColor rgb="FFF8BBD0"/>
      </patternFill>
    </fill>
    <fill>
      <patternFill patternType="solid">
        <fgColor rgb="FFD7CCC8"/>
        <bgColor rgb="FFD7CCC8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E3F2FD"/>
        <bgColor rgb="FFE3F2FD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</fills>
  <borders count="20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right style="thin">
        <color rgb="FF2F5496"/>
      </right>
      <top style="thin">
        <color rgb="FF2F5496"/>
      </top>
      <bottom style="medium">
        <color rgb="FF2F549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top style="thin">
        <color rgb="FF2F5496"/>
      </top>
      <bottom style="medium">
        <color rgb="FF2F5496"/>
      </bottom>
    </border>
    <border>
      <top style="thin">
        <color rgb="FF2F5496"/>
      </top>
      <bottom style="medium">
        <color rgb="FF2F5496"/>
      </bottom>
    </border>
    <border>
      <right style="thin">
        <color rgb="FF2F5496"/>
      </right>
      <top style="thin">
        <color rgb="FF2F5496"/>
      </top>
      <bottom style="medium">
        <color rgb="FF2F5496"/>
      </bottom>
    </border>
    <border>
      <left style="thin">
        <color rgb="FF2F5496"/>
      </left>
      <bottom style="medium">
        <color rgb="FF2F5496"/>
      </bottom>
    </border>
    <border>
      <bottom style="medium">
        <color rgb="FF2F5496"/>
      </bottom>
    </border>
    <border>
      <right style="thin">
        <color rgb="FF2F5496"/>
      </right>
      <bottom style="medium">
        <color rgb="FF2F5496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F5496"/>
      </bottom>
    </border>
    <border>
      <left style="thin">
        <color rgb="FFAAAAAA"/>
      </left>
      <top style="thin">
        <color rgb="FFAAAAAA"/>
      </top>
      <bottom style="medium">
        <color rgb="FF2F5496"/>
      </bottom>
    </border>
    <border>
      <top style="thin">
        <color rgb="FFAAAAAA"/>
      </top>
      <bottom style="medium">
        <color rgb="FF2F5496"/>
      </bottom>
    </border>
    <border>
      <right style="thin">
        <color rgb="FFAAAAAA"/>
      </right>
      <top style="thin">
        <color rgb="FFAAAAAA"/>
      </top>
      <bottom style="medium">
        <color rgb="FF2F5496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2" fillId="3" fontId="7" numFmtId="0" xfId="0" applyAlignment="1" applyBorder="1" applyFill="1" applyFont="1">
      <alignment horizontal="center" vertical="center"/>
    </xf>
    <xf borderId="2" fillId="3" fontId="7" numFmtId="0" xfId="0" applyAlignment="1" applyBorder="1" applyFont="1">
      <alignment horizontal="left" vertical="center"/>
    </xf>
    <xf borderId="2" fillId="4" fontId="7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0" fillId="0" fontId="9" numFmtId="0" xfId="0" applyFont="1"/>
    <xf borderId="2" fillId="6" fontId="10" numFmtId="164" xfId="0" applyAlignment="1" applyBorder="1" applyFill="1" applyFont="1" applyNumberFormat="1">
      <alignment horizontal="center" vertical="center"/>
    </xf>
    <xf borderId="2" fillId="6" fontId="8" numFmtId="0" xfId="0" applyAlignment="1" applyBorder="1" applyFont="1">
      <alignment horizontal="center" vertical="center"/>
    </xf>
    <xf borderId="2" fillId="6" fontId="11" numFmtId="0" xfId="0" applyAlignment="1" applyBorder="1" applyFont="1">
      <alignment horizontal="left" vertical="center"/>
    </xf>
    <xf borderId="2" fillId="6" fontId="12" numFmtId="0" xfId="0" applyAlignment="1" applyBorder="1" applyFont="1">
      <alignment horizontal="center" vertical="center"/>
    </xf>
    <xf borderId="2" fillId="7" fontId="13" numFmtId="4" xfId="0" applyAlignment="1" applyBorder="1" applyFill="1" applyFont="1" applyNumberFormat="1">
      <alignment horizontal="right" vertical="center"/>
    </xf>
    <xf borderId="2" fillId="6" fontId="14" numFmtId="4" xfId="0" applyAlignment="1" applyBorder="1" applyFont="1" applyNumberFormat="1">
      <alignment horizontal="right" vertical="center"/>
    </xf>
    <xf borderId="2" fillId="6" fontId="10" numFmtId="4" xfId="0" applyAlignment="1" applyBorder="1" applyFont="1" applyNumberFormat="1">
      <alignment horizontal="right" vertical="center"/>
    </xf>
    <xf borderId="2" fillId="6" fontId="15" numFmtId="4" xfId="0" applyAlignment="1" applyBorder="1" applyFont="1" applyNumberFormat="1">
      <alignment horizontal="right" vertical="center"/>
    </xf>
    <xf borderId="2" fillId="7" fontId="13" numFmtId="3" xfId="0" applyAlignment="1" applyBorder="1" applyFont="1" applyNumberFormat="1">
      <alignment horizontal="right" vertical="center"/>
    </xf>
    <xf borderId="2" fillId="8" fontId="16" numFmtId="3" xfId="0" applyAlignment="1" applyBorder="1" applyFill="1" applyFont="1" applyNumberFormat="1">
      <alignment horizontal="right" vertical="center"/>
    </xf>
    <xf borderId="2" fillId="8" fontId="17" numFmtId="3" xfId="0" applyAlignment="1" applyBorder="1" applyFont="1" applyNumberFormat="1">
      <alignment horizontal="right" vertical="center"/>
    </xf>
    <xf borderId="2" fillId="6" fontId="13" numFmtId="0" xfId="0" applyAlignment="1" applyBorder="1" applyFont="1">
      <alignment horizontal="center" vertical="center"/>
    </xf>
    <xf borderId="2" fillId="9" fontId="10" numFmtId="164" xfId="0" applyAlignment="1" applyBorder="1" applyFill="1" applyFont="1" applyNumberFormat="1">
      <alignment horizontal="center" vertical="center"/>
    </xf>
    <xf borderId="2" fillId="9" fontId="8" numFmtId="0" xfId="0" applyAlignment="1" applyBorder="1" applyFont="1">
      <alignment horizontal="center" vertical="center"/>
    </xf>
    <xf borderId="2" fillId="9" fontId="11" numFmtId="0" xfId="0" applyAlignment="1" applyBorder="1" applyFont="1">
      <alignment horizontal="left" vertical="center"/>
    </xf>
    <xf borderId="2" fillId="9" fontId="12" numFmtId="0" xfId="0" applyAlignment="1" applyBorder="1" applyFont="1">
      <alignment horizontal="center" vertical="center"/>
    </xf>
    <xf borderId="2" fillId="9" fontId="13" numFmtId="4" xfId="0" applyAlignment="1" applyBorder="1" applyFont="1" applyNumberFormat="1">
      <alignment horizontal="right" vertical="center"/>
    </xf>
    <xf borderId="2" fillId="9" fontId="14" numFmtId="4" xfId="0" applyAlignment="1" applyBorder="1" applyFont="1" applyNumberFormat="1">
      <alignment horizontal="right" vertical="center"/>
    </xf>
    <xf borderId="2" fillId="9" fontId="10" numFmtId="4" xfId="0" applyAlignment="1" applyBorder="1" applyFont="1" applyNumberFormat="1">
      <alignment horizontal="right" vertical="center"/>
    </xf>
    <xf borderId="2" fillId="9" fontId="15" numFmtId="4" xfId="0" applyAlignment="1" applyBorder="1" applyFont="1" applyNumberFormat="1">
      <alignment horizontal="right" vertical="center"/>
    </xf>
    <xf borderId="2" fillId="8" fontId="13" numFmtId="3" xfId="0" applyAlignment="1" applyBorder="1" applyFont="1" applyNumberFormat="1">
      <alignment horizontal="right" vertical="center"/>
    </xf>
    <xf borderId="2" fillId="9" fontId="13" numFmtId="0" xfId="0" applyAlignment="1" applyBorder="1" applyFont="1">
      <alignment horizontal="center" vertical="center"/>
    </xf>
    <xf borderId="2" fillId="10" fontId="10" numFmtId="164" xfId="0" applyAlignment="1" applyBorder="1" applyFill="1" applyFont="1" applyNumberFormat="1">
      <alignment horizontal="center" vertical="center"/>
    </xf>
    <xf borderId="2" fillId="10" fontId="8" numFmtId="0" xfId="0" applyAlignment="1" applyBorder="1" applyFont="1">
      <alignment horizontal="center" vertical="center"/>
    </xf>
    <xf borderId="2" fillId="10" fontId="11" numFmtId="0" xfId="0" applyAlignment="1" applyBorder="1" applyFont="1">
      <alignment horizontal="left" vertical="center"/>
    </xf>
    <xf borderId="2" fillId="10" fontId="12" numFmtId="0" xfId="0" applyAlignment="1" applyBorder="1" applyFont="1">
      <alignment horizontal="center" vertical="center"/>
    </xf>
    <xf borderId="2" fillId="10" fontId="13" numFmtId="4" xfId="0" applyAlignment="1" applyBorder="1" applyFont="1" applyNumberFormat="1">
      <alignment horizontal="right" vertical="center"/>
    </xf>
    <xf borderId="2" fillId="10" fontId="14" numFmtId="4" xfId="0" applyAlignment="1" applyBorder="1" applyFont="1" applyNumberFormat="1">
      <alignment horizontal="right" vertical="center"/>
    </xf>
    <xf borderId="2" fillId="10" fontId="10" numFmtId="4" xfId="0" applyAlignment="1" applyBorder="1" applyFont="1" applyNumberFormat="1">
      <alignment horizontal="right" vertical="center"/>
    </xf>
    <xf borderId="2" fillId="11" fontId="18" numFmtId="4" xfId="0" applyAlignment="1" applyBorder="1" applyFill="1" applyFont="1" applyNumberFormat="1">
      <alignment horizontal="right" vertical="center"/>
    </xf>
    <xf borderId="2" fillId="10" fontId="13" numFmtId="0" xfId="0" applyAlignment="1" applyBorder="1" applyFont="1">
      <alignment horizontal="center" vertical="center"/>
    </xf>
    <xf borderId="2" fillId="12" fontId="10" numFmtId="164" xfId="0" applyAlignment="1" applyBorder="1" applyFill="1" applyFont="1" applyNumberFormat="1">
      <alignment horizontal="center" vertical="center"/>
    </xf>
    <xf borderId="2" fillId="12" fontId="8" numFmtId="0" xfId="0" applyAlignment="1" applyBorder="1" applyFont="1">
      <alignment horizontal="center" vertical="center"/>
    </xf>
    <xf borderId="2" fillId="12" fontId="19" numFmtId="0" xfId="0" applyAlignment="1" applyBorder="1" applyFont="1">
      <alignment horizontal="left" vertical="center"/>
    </xf>
    <xf borderId="2" fillId="12" fontId="12" numFmtId="0" xfId="0" applyAlignment="1" applyBorder="1" applyFont="1">
      <alignment horizontal="center" vertical="center"/>
    </xf>
    <xf borderId="2" fillId="12" fontId="13" numFmtId="4" xfId="0" applyAlignment="1" applyBorder="1" applyFont="1" applyNumberFormat="1">
      <alignment horizontal="right" vertical="center"/>
    </xf>
    <xf borderId="2" fillId="12" fontId="14" numFmtId="4" xfId="0" applyAlignment="1" applyBorder="1" applyFont="1" applyNumberFormat="1">
      <alignment horizontal="right" vertical="center"/>
    </xf>
    <xf borderId="2" fillId="12" fontId="20" numFmtId="4" xfId="0" applyAlignment="1" applyBorder="1" applyFont="1" applyNumberFormat="1">
      <alignment horizontal="right" vertical="center"/>
    </xf>
    <xf borderId="2" fillId="8" fontId="21" numFmtId="3" xfId="0" applyAlignment="1" applyBorder="1" applyFont="1" applyNumberFormat="1">
      <alignment horizontal="right" vertical="center"/>
    </xf>
    <xf borderId="2" fillId="12" fontId="13" numFmtId="0" xfId="0" applyAlignment="1" applyBorder="1" applyFont="1">
      <alignment horizontal="center" vertical="center"/>
    </xf>
    <xf borderId="2" fillId="13" fontId="10" numFmtId="164" xfId="0" applyAlignment="1" applyBorder="1" applyFill="1" applyFont="1" applyNumberFormat="1">
      <alignment horizontal="center" vertical="center"/>
    </xf>
    <xf borderId="2" fillId="13" fontId="8" numFmtId="0" xfId="0" applyAlignment="1" applyBorder="1" applyFont="1">
      <alignment horizontal="center" vertical="center"/>
    </xf>
    <xf borderId="2" fillId="13" fontId="11" numFmtId="0" xfId="0" applyAlignment="1" applyBorder="1" applyFont="1">
      <alignment horizontal="left" vertical="center"/>
    </xf>
    <xf borderId="2" fillId="13" fontId="12" numFmtId="0" xfId="0" applyAlignment="1" applyBorder="1" applyFont="1">
      <alignment horizontal="center" vertical="center"/>
    </xf>
    <xf borderId="2" fillId="13" fontId="13" numFmtId="4" xfId="0" applyAlignment="1" applyBorder="1" applyFont="1" applyNumberFormat="1">
      <alignment horizontal="right" vertical="center"/>
    </xf>
    <xf borderId="2" fillId="13" fontId="14" numFmtId="4" xfId="0" applyAlignment="1" applyBorder="1" applyFont="1" applyNumberFormat="1">
      <alignment horizontal="right" vertical="center"/>
    </xf>
    <xf borderId="2" fillId="13" fontId="10" numFmtId="4" xfId="0" applyAlignment="1" applyBorder="1" applyFont="1" applyNumberFormat="1">
      <alignment horizontal="right" vertical="center"/>
    </xf>
    <xf borderId="2" fillId="13" fontId="13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3" fillId="8" fontId="23" numFmtId="4" xfId="0" applyAlignment="1" applyBorder="1" applyFont="1" applyNumberFormat="1">
      <alignment horizontal="right" vertical="center"/>
    </xf>
    <xf borderId="3" fillId="8" fontId="24" numFmtId="4" xfId="0" applyAlignment="1" applyBorder="1" applyFont="1" applyNumberFormat="1">
      <alignment horizontal="right" vertical="center"/>
    </xf>
    <xf borderId="3" fillId="8" fontId="14" numFmtId="4" xfId="0" applyBorder="1" applyFont="1" applyNumberFormat="1"/>
    <xf borderId="3" fillId="7" fontId="23" numFmtId="3" xfId="0" applyAlignment="1" applyBorder="1" applyFont="1" applyNumberFormat="1">
      <alignment horizontal="right" vertical="center"/>
    </xf>
    <xf borderId="3" fillId="8" fontId="14" numFmtId="3" xfId="0" applyBorder="1" applyFont="1" applyNumberFormat="1"/>
    <xf borderId="3" fillId="8" fontId="14" numFmtId="0" xfId="0" applyBorder="1" applyFont="1"/>
    <xf borderId="0" fillId="0" fontId="9" numFmtId="4" xfId="0" applyFont="1" applyNumberFormat="1"/>
    <xf borderId="0" fillId="0" fontId="9" numFmtId="3" xfId="0" applyFont="1" applyNumberFormat="1"/>
    <xf borderId="2" fillId="14" fontId="25" numFmtId="4" xfId="0" applyAlignment="1" applyBorder="1" applyFill="1" applyFont="1" applyNumberFormat="1">
      <alignment horizontal="right" vertical="center"/>
    </xf>
    <xf borderId="2" fillId="14" fontId="25" numFmtId="3" xfId="0" applyAlignment="1" applyBorder="1" applyFont="1" applyNumberFormat="1">
      <alignment horizontal="right" vertical="center"/>
    </xf>
    <xf borderId="2" fillId="15" fontId="10" numFmtId="164" xfId="0" applyAlignment="1" applyBorder="1" applyFill="1" applyFont="1" applyNumberFormat="1">
      <alignment horizontal="center" vertical="center"/>
    </xf>
    <xf borderId="2" fillId="15" fontId="8" numFmtId="0" xfId="0" applyAlignment="1" applyBorder="1" applyFont="1">
      <alignment horizontal="center" vertical="center"/>
    </xf>
    <xf borderId="2" fillId="15" fontId="11" numFmtId="0" xfId="0" applyAlignment="1" applyBorder="1" applyFont="1">
      <alignment horizontal="left" vertical="center"/>
    </xf>
    <xf borderId="2" fillId="15" fontId="12" numFmtId="0" xfId="0" applyAlignment="1" applyBorder="1" applyFont="1">
      <alignment horizontal="center" vertical="center"/>
    </xf>
    <xf borderId="2" fillId="15" fontId="13" numFmtId="4" xfId="0" applyAlignment="1" applyBorder="1" applyFont="1" applyNumberFormat="1">
      <alignment horizontal="right" vertical="center"/>
    </xf>
    <xf borderId="2" fillId="15" fontId="14" numFmtId="4" xfId="0" applyAlignment="1" applyBorder="1" applyFont="1" applyNumberFormat="1">
      <alignment horizontal="right" vertical="center"/>
    </xf>
    <xf borderId="2" fillId="15" fontId="10" numFmtId="4" xfId="0" applyAlignment="1" applyBorder="1" applyFont="1" applyNumberFormat="1">
      <alignment horizontal="right" vertical="center"/>
    </xf>
    <xf borderId="2" fillId="15" fontId="15" numFmtId="4" xfId="0" applyAlignment="1" applyBorder="1" applyFont="1" applyNumberFormat="1">
      <alignment horizontal="right" vertical="center"/>
    </xf>
    <xf borderId="2" fillId="15" fontId="13" numFmtId="0" xfId="0" applyAlignment="1" applyBorder="1" applyFont="1">
      <alignment horizontal="center" vertical="center"/>
    </xf>
    <xf borderId="2" fillId="10" fontId="15" numFmtId="4" xfId="0" applyAlignment="1" applyBorder="1" applyFont="1" applyNumberFormat="1">
      <alignment horizontal="right" vertical="center"/>
    </xf>
    <xf borderId="2" fillId="12" fontId="15" numFmtId="4" xfId="0" applyAlignment="1" applyBorder="1" applyFont="1" applyNumberFormat="1">
      <alignment horizontal="right" vertical="center"/>
    </xf>
    <xf borderId="2" fillId="13" fontId="15" numFmtId="4" xfId="0" applyAlignment="1" applyBorder="1" applyFont="1" applyNumberFormat="1">
      <alignment horizontal="right" vertical="center"/>
    </xf>
    <xf borderId="2" fillId="16" fontId="10" numFmtId="164" xfId="0" applyAlignment="1" applyBorder="1" applyFill="1" applyFont="1" applyNumberFormat="1">
      <alignment horizontal="center" vertical="center"/>
    </xf>
    <xf borderId="2" fillId="16" fontId="8" numFmtId="0" xfId="0" applyAlignment="1" applyBorder="1" applyFont="1">
      <alignment horizontal="center" vertical="center"/>
    </xf>
    <xf borderId="2" fillId="16" fontId="11" numFmtId="0" xfId="0" applyAlignment="1" applyBorder="1" applyFont="1">
      <alignment horizontal="left" vertical="center"/>
    </xf>
    <xf borderId="2" fillId="16" fontId="12" numFmtId="0" xfId="0" applyAlignment="1" applyBorder="1" applyFont="1">
      <alignment horizontal="center" vertical="center"/>
    </xf>
    <xf borderId="2" fillId="16" fontId="13" numFmtId="4" xfId="0" applyAlignment="1" applyBorder="1" applyFont="1" applyNumberFormat="1">
      <alignment horizontal="right" vertical="center"/>
    </xf>
    <xf borderId="2" fillId="16" fontId="14" numFmtId="4" xfId="0" applyAlignment="1" applyBorder="1" applyFont="1" applyNumberFormat="1">
      <alignment horizontal="right" vertical="center"/>
    </xf>
    <xf borderId="2" fillId="16" fontId="10" numFmtId="4" xfId="0" applyAlignment="1" applyBorder="1" applyFont="1" applyNumberFormat="1">
      <alignment horizontal="right" vertical="center"/>
    </xf>
    <xf borderId="2" fillId="16" fontId="15" numFmtId="4" xfId="0" applyAlignment="1" applyBorder="1" applyFont="1" applyNumberFormat="1">
      <alignment horizontal="right" vertical="center"/>
    </xf>
    <xf borderId="2" fillId="16" fontId="13" numFmtId="0" xfId="0" applyAlignment="1" applyBorder="1" applyFont="1">
      <alignment horizontal="center" vertical="center"/>
    </xf>
    <xf borderId="2" fillId="17" fontId="10" numFmtId="164" xfId="0" applyAlignment="1" applyBorder="1" applyFill="1" applyFont="1" applyNumberFormat="1">
      <alignment horizontal="center" vertical="center"/>
    </xf>
    <xf borderId="2" fillId="17" fontId="8" numFmtId="0" xfId="0" applyAlignment="1" applyBorder="1" applyFont="1">
      <alignment horizontal="center" vertical="center"/>
    </xf>
    <xf borderId="2" fillId="17" fontId="11" numFmtId="0" xfId="0" applyAlignment="1" applyBorder="1" applyFont="1">
      <alignment horizontal="left" vertical="center"/>
    </xf>
    <xf borderId="2" fillId="17" fontId="12" numFmtId="0" xfId="0" applyAlignment="1" applyBorder="1" applyFont="1">
      <alignment horizontal="center" vertical="center"/>
    </xf>
    <xf borderId="2" fillId="17" fontId="13" numFmtId="4" xfId="0" applyAlignment="1" applyBorder="1" applyFont="1" applyNumberFormat="1">
      <alignment horizontal="right" vertical="center"/>
    </xf>
    <xf borderId="2" fillId="17" fontId="14" numFmtId="4" xfId="0" applyAlignment="1" applyBorder="1" applyFont="1" applyNumberFormat="1">
      <alignment horizontal="right" vertical="center"/>
    </xf>
    <xf borderId="2" fillId="17" fontId="10" numFmtId="4" xfId="0" applyAlignment="1" applyBorder="1" applyFont="1" applyNumberFormat="1">
      <alignment horizontal="right" vertical="center"/>
    </xf>
    <xf borderId="2" fillId="17" fontId="15" numFmtId="4" xfId="0" applyAlignment="1" applyBorder="1" applyFont="1" applyNumberFormat="1">
      <alignment horizontal="right" vertical="center"/>
    </xf>
    <xf borderId="2" fillId="17" fontId="13" numFmtId="0" xfId="0" applyAlignment="1" applyBorder="1" applyFont="1">
      <alignment horizontal="center" vertical="center"/>
    </xf>
    <xf borderId="2" fillId="18" fontId="10" numFmtId="164" xfId="0" applyAlignment="1" applyBorder="1" applyFill="1" applyFont="1" applyNumberFormat="1">
      <alignment horizontal="center" vertical="center"/>
    </xf>
    <xf borderId="2" fillId="18" fontId="8" numFmtId="0" xfId="0" applyAlignment="1" applyBorder="1" applyFont="1">
      <alignment horizontal="center" vertical="center"/>
    </xf>
    <xf borderId="2" fillId="18" fontId="11" numFmtId="0" xfId="0" applyAlignment="1" applyBorder="1" applyFont="1">
      <alignment horizontal="left" vertical="center"/>
    </xf>
    <xf borderId="2" fillId="18" fontId="12" numFmtId="0" xfId="0" applyAlignment="1" applyBorder="1" applyFont="1">
      <alignment horizontal="center" vertical="center"/>
    </xf>
    <xf borderId="2" fillId="18" fontId="13" numFmtId="4" xfId="0" applyAlignment="1" applyBorder="1" applyFont="1" applyNumberFormat="1">
      <alignment horizontal="right" vertical="center"/>
    </xf>
    <xf borderId="2" fillId="18" fontId="14" numFmtId="4" xfId="0" applyAlignment="1" applyBorder="1" applyFont="1" applyNumberFormat="1">
      <alignment horizontal="right" vertical="center"/>
    </xf>
    <xf borderId="2" fillId="18" fontId="10" numFmtId="4" xfId="0" applyAlignment="1" applyBorder="1" applyFont="1" applyNumberFormat="1">
      <alignment horizontal="right" vertical="center"/>
    </xf>
    <xf borderId="2" fillId="18" fontId="15" numFmtId="4" xfId="0" applyAlignment="1" applyBorder="1" applyFont="1" applyNumberFormat="1">
      <alignment horizontal="right" vertical="center"/>
    </xf>
    <xf borderId="2" fillId="18" fontId="13" numFmtId="0" xfId="0" applyAlignment="1" applyBorder="1" applyFont="1">
      <alignment horizontal="center" vertical="center"/>
    </xf>
    <xf borderId="2" fillId="19" fontId="10" numFmtId="164" xfId="0" applyAlignment="1" applyBorder="1" applyFill="1" applyFont="1" applyNumberFormat="1">
      <alignment horizontal="center" vertical="center"/>
    </xf>
    <xf borderId="2" fillId="19" fontId="8" numFmtId="0" xfId="0" applyAlignment="1" applyBorder="1" applyFont="1">
      <alignment horizontal="center" vertical="center"/>
    </xf>
    <xf borderId="2" fillId="19" fontId="11" numFmtId="0" xfId="0" applyAlignment="1" applyBorder="1" applyFont="1">
      <alignment horizontal="left" vertical="center"/>
    </xf>
    <xf borderId="2" fillId="19" fontId="12" numFmtId="0" xfId="0" applyAlignment="1" applyBorder="1" applyFont="1">
      <alignment horizontal="center" vertical="center"/>
    </xf>
    <xf borderId="2" fillId="19" fontId="13" numFmtId="4" xfId="0" applyAlignment="1" applyBorder="1" applyFont="1" applyNumberFormat="1">
      <alignment horizontal="right" vertical="center"/>
    </xf>
    <xf borderId="2" fillId="19" fontId="14" numFmtId="4" xfId="0" applyAlignment="1" applyBorder="1" applyFont="1" applyNumberFormat="1">
      <alignment horizontal="right" vertical="center"/>
    </xf>
    <xf borderId="2" fillId="19" fontId="10" numFmtId="4" xfId="0" applyAlignment="1" applyBorder="1" applyFont="1" applyNumberFormat="1">
      <alignment horizontal="right" vertical="center"/>
    </xf>
    <xf borderId="2" fillId="19" fontId="15" numFmtId="4" xfId="0" applyAlignment="1" applyBorder="1" applyFont="1" applyNumberFormat="1">
      <alignment horizontal="right" vertical="center"/>
    </xf>
    <xf borderId="2" fillId="19" fontId="13" numFmtId="0" xfId="0" applyAlignment="1" applyBorder="1" applyFont="1">
      <alignment horizontal="center" vertical="center"/>
    </xf>
    <xf borderId="2" fillId="20" fontId="10" numFmtId="164" xfId="0" applyAlignment="1" applyBorder="1" applyFill="1" applyFont="1" applyNumberFormat="1">
      <alignment horizontal="center" vertical="center"/>
    </xf>
    <xf borderId="2" fillId="20" fontId="8" numFmtId="0" xfId="0" applyAlignment="1" applyBorder="1" applyFont="1">
      <alignment horizontal="center" vertical="center"/>
    </xf>
    <xf borderId="2" fillId="20" fontId="11" numFmtId="0" xfId="0" applyAlignment="1" applyBorder="1" applyFont="1">
      <alignment horizontal="left" vertical="center"/>
    </xf>
    <xf borderId="2" fillId="20" fontId="12" numFmtId="0" xfId="0" applyAlignment="1" applyBorder="1" applyFont="1">
      <alignment horizontal="center" vertical="center"/>
    </xf>
    <xf borderId="2" fillId="20" fontId="13" numFmtId="4" xfId="0" applyAlignment="1" applyBorder="1" applyFont="1" applyNumberFormat="1">
      <alignment horizontal="right" vertical="center"/>
    </xf>
    <xf borderId="2" fillId="20" fontId="14" numFmtId="4" xfId="0" applyAlignment="1" applyBorder="1" applyFont="1" applyNumberFormat="1">
      <alignment horizontal="right" vertical="center"/>
    </xf>
    <xf borderId="2" fillId="20" fontId="10" numFmtId="4" xfId="0" applyAlignment="1" applyBorder="1" applyFont="1" applyNumberFormat="1">
      <alignment horizontal="right" vertical="center"/>
    </xf>
    <xf borderId="2" fillId="20" fontId="15" numFmtId="4" xfId="0" applyAlignment="1" applyBorder="1" applyFont="1" applyNumberFormat="1">
      <alignment horizontal="right" vertical="center"/>
    </xf>
    <xf borderId="2" fillId="20" fontId="13" numFmtId="0" xfId="0" applyAlignment="1" applyBorder="1" applyFont="1">
      <alignment horizontal="center" vertical="center"/>
    </xf>
    <xf borderId="2" fillId="21" fontId="10" numFmtId="164" xfId="0" applyAlignment="1" applyBorder="1" applyFill="1" applyFont="1" applyNumberFormat="1">
      <alignment horizontal="center" vertical="center"/>
    </xf>
    <xf borderId="2" fillId="21" fontId="8" numFmtId="0" xfId="0" applyAlignment="1" applyBorder="1" applyFont="1">
      <alignment horizontal="center" vertical="center"/>
    </xf>
    <xf borderId="2" fillId="21" fontId="11" numFmtId="0" xfId="0" applyAlignment="1" applyBorder="1" applyFont="1">
      <alignment horizontal="left" vertical="center"/>
    </xf>
    <xf borderId="2" fillId="21" fontId="12" numFmtId="0" xfId="0" applyAlignment="1" applyBorder="1" applyFont="1">
      <alignment horizontal="center" vertical="center"/>
    </xf>
    <xf borderId="2" fillId="21" fontId="13" numFmtId="4" xfId="0" applyAlignment="1" applyBorder="1" applyFont="1" applyNumberFormat="1">
      <alignment horizontal="right" vertical="center"/>
    </xf>
    <xf borderId="2" fillId="21" fontId="14" numFmtId="4" xfId="0" applyAlignment="1" applyBorder="1" applyFont="1" applyNumberFormat="1">
      <alignment horizontal="right" vertical="center"/>
    </xf>
    <xf borderId="2" fillId="21" fontId="10" numFmtId="4" xfId="0" applyAlignment="1" applyBorder="1" applyFont="1" applyNumberFormat="1">
      <alignment horizontal="right" vertical="center"/>
    </xf>
    <xf borderId="2" fillId="21" fontId="13" numFmtId="0" xfId="0" applyAlignment="1" applyBorder="1" applyFont="1">
      <alignment horizontal="center" vertical="center"/>
    </xf>
    <xf borderId="1" fillId="7" fontId="23" numFmtId="3" xfId="0" applyAlignment="1" applyBorder="1" applyFont="1" applyNumberFormat="1">
      <alignment horizontal="right" vertical="center"/>
    </xf>
    <xf borderId="1" fillId="8" fontId="14" numFmtId="3" xfId="0" applyBorder="1" applyFont="1" applyNumberFormat="1"/>
    <xf borderId="2" fillId="10" fontId="11" numFmtId="0" xfId="0" applyAlignment="1" applyBorder="1" applyFont="1">
      <alignment horizontal="left" readingOrder="0" vertical="center"/>
    </xf>
    <xf borderId="2" fillId="10" fontId="10" numFmtId="4" xfId="0" applyAlignment="1" applyBorder="1" applyFont="1" applyNumberFormat="1">
      <alignment horizontal="right" readingOrder="0" vertical="center"/>
    </xf>
    <xf borderId="2" fillId="22" fontId="10" numFmtId="164" xfId="0" applyAlignment="1" applyBorder="1" applyFill="1" applyFont="1" applyNumberFormat="1">
      <alignment horizontal="center" vertical="center"/>
    </xf>
    <xf borderId="2" fillId="22" fontId="8" numFmtId="0" xfId="0" applyAlignment="1" applyBorder="1" applyFont="1">
      <alignment horizontal="center" vertical="center"/>
    </xf>
    <xf borderId="2" fillId="22" fontId="11" numFmtId="0" xfId="0" applyAlignment="1" applyBorder="1" applyFont="1">
      <alignment horizontal="left" readingOrder="0" vertical="center"/>
    </xf>
    <xf borderId="2" fillId="22" fontId="12" numFmtId="0" xfId="0" applyAlignment="1" applyBorder="1" applyFont="1">
      <alignment horizontal="center" vertical="center"/>
    </xf>
    <xf borderId="0" fillId="22" fontId="23" numFmtId="4" xfId="0" applyAlignment="1" applyFont="1" applyNumberFormat="1">
      <alignment horizontal="right" vertical="center"/>
    </xf>
    <xf borderId="0" fillId="22" fontId="24" numFmtId="4" xfId="0" applyAlignment="1" applyFont="1" applyNumberFormat="1">
      <alignment horizontal="right" vertical="center"/>
    </xf>
    <xf borderId="0" fillId="22" fontId="23" numFmtId="4" xfId="0" applyAlignment="1" applyFont="1" applyNumberFormat="1">
      <alignment horizontal="right" readingOrder="0" vertical="center"/>
    </xf>
    <xf borderId="2" fillId="19" fontId="10" numFmtId="4" xfId="0" applyAlignment="1" applyBorder="1" applyFont="1" applyNumberFormat="1">
      <alignment horizontal="right" readingOrder="0" vertical="center"/>
    </xf>
    <xf borderId="0" fillId="8" fontId="22" numFmtId="0" xfId="0" applyAlignment="1" applyFont="1">
      <alignment horizontal="center" vertical="center"/>
    </xf>
    <xf borderId="0" fillId="8" fontId="23" numFmtId="4" xfId="0" applyAlignment="1" applyFont="1" applyNumberFormat="1">
      <alignment horizontal="right" vertical="center"/>
    </xf>
    <xf borderId="0" fillId="8" fontId="24" numFmtId="4" xfId="0" applyAlignment="1" applyFont="1" applyNumberFormat="1">
      <alignment horizontal="right" vertical="center"/>
    </xf>
    <xf borderId="0" fillId="8" fontId="14" numFmtId="0" xfId="0" applyFont="1"/>
    <xf borderId="0" fillId="7" fontId="23" numFmtId="3" xfId="0" applyAlignment="1" applyFont="1" applyNumberFormat="1">
      <alignment horizontal="right" vertical="center"/>
    </xf>
    <xf borderId="1" fillId="8" fontId="22" numFmtId="0" xfId="0" applyAlignment="1" applyBorder="1" applyFont="1">
      <alignment horizontal="center" vertical="center"/>
    </xf>
    <xf borderId="1" fillId="8" fontId="23" numFmtId="4" xfId="0" applyAlignment="1" applyBorder="1" applyFont="1" applyNumberFormat="1">
      <alignment horizontal="right" vertical="center"/>
    </xf>
    <xf borderId="1" fillId="8" fontId="24" numFmtId="4" xfId="0" applyAlignment="1" applyBorder="1" applyFont="1" applyNumberFormat="1">
      <alignment horizontal="right" vertical="center"/>
    </xf>
    <xf borderId="1" fillId="8" fontId="14" numFmtId="4" xfId="0" applyBorder="1" applyFont="1" applyNumberFormat="1"/>
    <xf borderId="1" fillId="2" fontId="26" numFmtId="0" xfId="0" applyAlignment="1" applyBorder="1" applyFont="1">
      <alignment horizontal="right" vertical="center"/>
    </xf>
    <xf borderId="3" fillId="2" fontId="26" numFmtId="4" xfId="0" applyAlignment="1" applyBorder="1" applyFont="1" applyNumberFormat="1">
      <alignment horizontal="right" vertical="center"/>
    </xf>
    <xf borderId="3" fillId="2" fontId="6" numFmtId="4" xfId="0" applyAlignment="1" applyBorder="1" applyFont="1" applyNumberFormat="1">
      <alignment horizontal="right" vertical="center"/>
    </xf>
    <xf borderId="3" fillId="2" fontId="5" numFmtId="4" xfId="0" applyAlignment="1" applyBorder="1" applyFont="1" applyNumberFormat="1">
      <alignment horizontal="right" vertical="center"/>
    </xf>
    <xf borderId="3" fillId="4" fontId="26" numFmtId="3" xfId="0" applyAlignment="1" applyBorder="1" applyFont="1" applyNumberFormat="1">
      <alignment horizontal="right" vertical="center"/>
    </xf>
    <xf borderId="3" fillId="2" fontId="5" numFmtId="3" xfId="0" applyAlignment="1" applyBorder="1" applyFont="1" applyNumberFormat="1">
      <alignment horizontal="right" vertical="center"/>
    </xf>
    <xf borderId="3" fillId="2" fontId="14" numFmtId="0" xfId="0" applyBorder="1" applyFont="1"/>
    <xf borderId="1" fillId="5" fontId="27" numFmtId="0" xfId="0" applyAlignment="1" applyBorder="1" applyFont="1">
      <alignment horizontal="left" vertical="center"/>
    </xf>
    <xf borderId="1" fillId="23" fontId="28" numFmtId="0" xfId="0" applyBorder="1" applyFill="1" applyFont="1"/>
    <xf borderId="4" fillId="2" fontId="29" numFmtId="0" xfId="0" applyAlignment="1" applyBorder="1" applyFont="1">
      <alignment horizontal="center" vertical="center"/>
    </xf>
    <xf borderId="5" fillId="0" fontId="30" numFmtId="0" xfId="0" applyBorder="1" applyFont="1"/>
    <xf borderId="6" fillId="0" fontId="30" numFmtId="0" xfId="0" applyBorder="1" applyFont="1"/>
    <xf borderId="4" fillId="3" fontId="4" numFmtId="0" xfId="0" applyAlignment="1" applyBorder="1" applyFont="1">
      <alignment horizontal="center" vertical="center"/>
    </xf>
    <xf borderId="4" fillId="3" fontId="26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left" vertical="center"/>
    </xf>
    <xf borderId="8" fillId="0" fontId="30" numFmtId="0" xfId="0" applyBorder="1" applyFont="1"/>
    <xf borderId="9" fillId="0" fontId="30" numFmtId="0" xfId="0" applyBorder="1" applyFont="1"/>
    <xf borderId="2" fillId="7" fontId="10" numFmtId="165" xfId="0" applyAlignment="1" applyBorder="1" applyFont="1" applyNumberFormat="1">
      <alignment horizontal="center" vertical="center"/>
    </xf>
    <xf borderId="7" fillId="7" fontId="10" numFmtId="0" xfId="0" applyAlignment="1" applyBorder="1" applyFont="1">
      <alignment horizontal="left" vertical="center"/>
    </xf>
    <xf borderId="3" fillId="11" fontId="23" numFmtId="0" xfId="0" applyAlignment="1" applyBorder="1" applyFont="1">
      <alignment horizontal="center" vertical="center"/>
    </xf>
    <xf borderId="3" fillId="11" fontId="23" numFmtId="4" xfId="0" applyAlignment="1" applyBorder="1" applyFont="1" applyNumberFormat="1">
      <alignment horizontal="right" vertical="center"/>
    </xf>
    <xf borderId="3" fillId="11" fontId="23" numFmtId="3" xfId="0" applyAlignment="1" applyBorder="1" applyFont="1" applyNumberFormat="1">
      <alignment horizontal="right" vertical="center"/>
    </xf>
    <xf borderId="10" fillId="11" fontId="14" numFmtId="0" xfId="0" applyBorder="1" applyFont="1"/>
    <xf borderId="11" fillId="0" fontId="30" numFmtId="0" xfId="0" applyBorder="1" applyFont="1"/>
    <xf borderId="12" fillId="0" fontId="30" numFmtId="0" xfId="0" applyBorder="1" applyFont="1"/>
    <xf borderId="7" fillId="24" fontId="7" numFmtId="0" xfId="0" applyAlignment="1" applyBorder="1" applyFill="1" applyFont="1">
      <alignment horizontal="left" vertical="center"/>
    </xf>
    <xf borderId="2" fillId="24" fontId="7" numFmtId="0" xfId="0" applyAlignment="1" applyBorder="1" applyFont="1">
      <alignment horizontal="center" vertical="center"/>
    </xf>
    <xf borderId="2" fillId="24" fontId="7" numFmtId="0" xfId="0" applyAlignment="1" applyBorder="1" applyFont="1">
      <alignment horizontal="right" vertical="center"/>
    </xf>
    <xf borderId="7" fillId="13" fontId="15" numFmtId="0" xfId="0" applyAlignment="1" applyBorder="1" applyFont="1">
      <alignment horizontal="left" vertical="center"/>
    </xf>
    <xf borderId="7" fillId="13" fontId="11" numFmtId="0" xfId="0" applyAlignment="1" applyBorder="1" applyFont="1">
      <alignment horizontal="left" vertical="center"/>
    </xf>
    <xf borderId="2" fillId="13" fontId="10" numFmtId="0" xfId="0" applyAlignment="1" applyBorder="1" applyFont="1">
      <alignment horizontal="center" vertical="center"/>
    </xf>
    <xf borderId="2" fillId="13" fontId="15" numFmtId="3" xfId="0" applyAlignment="1" applyBorder="1" applyFont="1" applyNumberFormat="1">
      <alignment horizontal="right" vertical="center"/>
    </xf>
    <xf borderId="2" fillId="13" fontId="10" numFmtId="166" xfId="0" applyAlignment="1" applyBorder="1" applyFont="1" applyNumberFormat="1">
      <alignment horizontal="center" vertical="center"/>
    </xf>
    <xf borderId="7" fillId="15" fontId="15" numFmtId="0" xfId="0" applyAlignment="1" applyBorder="1" applyFont="1">
      <alignment horizontal="left" vertical="center"/>
    </xf>
    <xf borderId="7" fillId="15" fontId="11" numFmtId="0" xfId="0" applyAlignment="1" applyBorder="1" applyFont="1">
      <alignment horizontal="left" vertical="center"/>
    </xf>
    <xf borderId="2" fillId="15" fontId="10" numFmtId="0" xfId="0" applyAlignment="1" applyBorder="1" applyFont="1">
      <alignment horizontal="center" vertical="center"/>
    </xf>
    <xf borderId="2" fillId="15" fontId="15" numFmtId="3" xfId="0" applyAlignment="1" applyBorder="1" applyFont="1" applyNumberFormat="1">
      <alignment horizontal="right" vertical="center"/>
    </xf>
    <xf borderId="2" fillId="15" fontId="10" numFmtId="166" xfId="0" applyAlignment="1" applyBorder="1" applyFont="1" applyNumberFormat="1">
      <alignment horizontal="center" vertical="center"/>
    </xf>
    <xf borderId="7" fillId="16" fontId="15" numFmtId="0" xfId="0" applyAlignment="1" applyBorder="1" applyFont="1">
      <alignment horizontal="left" vertical="center"/>
    </xf>
    <xf borderId="7" fillId="16" fontId="11" numFmtId="0" xfId="0" applyAlignment="1" applyBorder="1" applyFont="1">
      <alignment horizontal="left" vertical="center"/>
    </xf>
    <xf borderId="2" fillId="16" fontId="10" numFmtId="0" xfId="0" applyAlignment="1" applyBorder="1" applyFont="1">
      <alignment horizontal="center" vertical="center"/>
    </xf>
    <xf borderId="2" fillId="16" fontId="15" numFmtId="3" xfId="0" applyAlignment="1" applyBorder="1" applyFont="1" applyNumberFormat="1">
      <alignment horizontal="right" vertical="center"/>
    </xf>
    <xf borderId="2" fillId="16" fontId="10" numFmtId="166" xfId="0" applyAlignment="1" applyBorder="1" applyFont="1" applyNumberFormat="1">
      <alignment horizontal="center" vertical="center"/>
    </xf>
    <xf borderId="7" fillId="17" fontId="15" numFmtId="0" xfId="0" applyAlignment="1" applyBorder="1" applyFont="1">
      <alignment horizontal="left" vertical="center"/>
    </xf>
    <xf borderId="7" fillId="17" fontId="11" numFmtId="0" xfId="0" applyAlignment="1" applyBorder="1" applyFont="1">
      <alignment horizontal="left" vertical="center"/>
    </xf>
    <xf borderId="2" fillId="17" fontId="10" numFmtId="0" xfId="0" applyAlignment="1" applyBorder="1" applyFont="1">
      <alignment horizontal="center" vertical="center"/>
    </xf>
    <xf borderId="2" fillId="17" fontId="15" numFmtId="3" xfId="0" applyAlignment="1" applyBorder="1" applyFont="1" applyNumberFormat="1">
      <alignment horizontal="right" vertical="center"/>
    </xf>
    <xf borderId="2" fillId="17" fontId="10" numFmtId="166" xfId="0" applyAlignment="1" applyBorder="1" applyFont="1" applyNumberFormat="1">
      <alignment horizontal="center" vertical="center"/>
    </xf>
    <xf borderId="7" fillId="18" fontId="15" numFmtId="0" xfId="0" applyAlignment="1" applyBorder="1" applyFont="1">
      <alignment horizontal="left" vertical="center"/>
    </xf>
    <xf borderId="7" fillId="18" fontId="11" numFmtId="0" xfId="0" applyAlignment="1" applyBorder="1" applyFont="1">
      <alignment horizontal="left" vertical="center"/>
    </xf>
    <xf borderId="2" fillId="18" fontId="10" numFmtId="0" xfId="0" applyAlignment="1" applyBorder="1" applyFont="1">
      <alignment horizontal="center" vertical="center"/>
    </xf>
    <xf borderId="2" fillId="18" fontId="15" numFmtId="3" xfId="0" applyAlignment="1" applyBorder="1" applyFont="1" applyNumberFormat="1">
      <alignment horizontal="right" vertical="center"/>
    </xf>
    <xf borderId="2" fillId="18" fontId="10" numFmtId="166" xfId="0" applyAlignment="1" applyBorder="1" applyFont="1" applyNumberFormat="1">
      <alignment horizontal="center" vertical="center"/>
    </xf>
    <xf borderId="7" fillId="10" fontId="15" numFmtId="0" xfId="0" applyAlignment="1" applyBorder="1" applyFont="1">
      <alignment horizontal="left" vertical="center"/>
    </xf>
    <xf borderId="7" fillId="10" fontId="11" numFmtId="0" xfId="0" applyAlignment="1" applyBorder="1" applyFont="1">
      <alignment horizontal="left" vertical="center"/>
    </xf>
    <xf borderId="2" fillId="10" fontId="10" numFmtId="0" xfId="0" applyAlignment="1" applyBorder="1" applyFont="1">
      <alignment horizontal="center" vertical="center"/>
    </xf>
    <xf borderId="2" fillId="10" fontId="15" numFmtId="3" xfId="0" applyAlignment="1" applyBorder="1" applyFont="1" applyNumberFormat="1">
      <alignment horizontal="right" vertical="center"/>
    </xf>
    <xf borderId="2" fillId="10" fontId="10" numFmtId="166" xfId="0" applyAlignment="1" applyBorder="1" applyFont="1" applyNumberFormat="1">
      <alignment horizontal="center" vertical="center"/>
    </xf>
    <xf borderId="7" fillId="19" fontId="15" numFmtId="0" xfId="0" applyAlignment="1" applyBorder="1" applyFont="1">
      <alignment horizontal="left" vertical="center"/>
    </xf>
    <xf borderId="7" fillId="19" fontId="11" numFmtId="0" xfId="0" applyAlignment="1" applyBorder="1" applyFont="1">
      <alignment horizontal="left" vertical="center"/>
    </xf>
    <xf borderId="2" fillId="19" fontId="10" numFmtId="0" xfId="0" applyAlignment="1" applyBorder="1" applyFont="1">
      <alignment horizontal="center" vertical="center"/>
    </xf>
    <xf borderId="2" fillId="19" fontId="15" numFmtId="3" xfId="0" applyAlignment="1" applyBorder="1" applyFont="1" applyNumberFormat="1">
      <alignment horizontal="right" vertical="center"/>
    </xf>
    <xf borderId="2" fillId="19" fontId="10" numFmtId="166" xfId="0" applyAlignment="1" applyBorder="1" applyFont="1" applyNumberFormat="1">
      <alignment horizontal="center" vertical="center"/>
    </xf>
    <xf borderId="7" fillId="21" fontId="15" numFmtId="0" xfId="0" applyAlignment="1" applyBorder="1" applyFont="1">
      <alignment horizontal="left" vertical="center"/>
    </xf>
    <xf borderId="7" fillId="21" fontId="11" numFmtId="0" xfId="0" applyAlignment="1" applyBorder="1" applyFont="1">
      <alignment horizontal="left" vertical="center"/>
    </xf>
    <xf borderId="2" fillId="21" fontId="10" numFmtId="0" xfId="0" applyAlignment="1" applyBorder="1" applyFont="1">
      <alignment horizontal="center" vertical="center"/>
    </xf>
    <xf borderId="2" fillId="21" fontId="15" numFmtId="4" xfId="0" applyAlignment="1" applyBorder="1" applyFont="1" applyNumberFormat="1">
      <alignment horizontal="right" vertical="center"/>
    </xf>
    <xf borderId="2" fillId="21" fontId="15" numFmtId="3" xfId="0" applyAlignment="1" applyBorder="1" applyFont="1" applyNumberFormat="1">
      <alignment horizontal="right" vertical="center"/>
    </xf>
    <xf borderId="2" fillId="21" fontId="10" numFmtId="166" xfId="0" applyAlignment="1" applyBorder="1" applyFont="1" applyNumberFormat="1">
      <alignment horizontal="center" vertical="center"/>
    </xf>
    <xf borderId="7" fillId="20" fontId="15" numFmtId="0" xfId="0" applyAlignment="1" applyBorder="1" applyFont="1">
      <alignment horizontal="left" vertical="center"/>
    </xf>
    <xf borderId="7" fillId="20" fontId="11" numFmtId="0" xfId="0" applyAlignment="1" applyBorder="1" applyFont="1">
      <alignment horizontal="left" vertical="center"/>
    </xf>
    <xf borderId="2" fillId="20" fontId="10" numFmtId="0" xfId="0" applyAlignment="1" applyBorder="1" applyFont="1">
      <alignment horizontal="center" vertical="center"/>
    </xf>
    <xf borderId="2" fillId="20" fontId="15" numFmtId="3" xfId="0" applyAlignment="1" applyBorder="1" applyFont="1" applyNumberFormat="1">
      <alignment horizontal="right" vertical="center"/>
    </xf>
    <xf borderId="2" fillId="20" fontId="10" numFmtId="166" xfId="0" applyAlignment="1" applyBorder="1" applyFont="1" applyNumberFormat="1">
      <alignment horizontal="center" vertical="center"/>
    </xf>
    <xf borderId="7" fillId="9" fontId="31" numFmtId="0" xfId="0" applyAlignment="1" applyBorder="1" applyFont="1">
      <alignment readingOrder="0"/>
    </xf>
    <xf borderId="7" fillId="9" fontId="11" numFmtId="0" xfId="0" applyAlignment="1" applyBorder="1" applyFont="1">
      <alignment horizontal="left" readingOrder="0" vertical="center"/>
    </xf>
    <xf borderId="2" fillId="9" fontId="12" numFmtId="0" xfId="0" applyAlignment="1" applyBorder="1" applyFont="1">
      <alignment horizontal="center" readingOrder="0" vertical="center"/>
    </xf>
    <xf borderId="2" fillId="9" fontId="10" numFmtId="0" xfId="0" applyAlignment="1" applyBorder="1" applyFont="1">
      <alignment horizontal="center" readingOrder="0" vertical="center"/>
    </xf>
    <xf borderId="2" fillId="9" fontId="15" numFmtId="4" xfId="0" applyAlignment="1" applyBorder="1" applyFont="1" applyNumberFormat="1">
      <alignment horizontal="right" readingOrder="0" vertical="center"/>
    </xf>
    <xf borderId="2" fillId="9" fontId="15" numFmtId="3" xfId="0" applyAlignment="1" applyBorder="1" applyFont="1" applyNumberFormat="1">
      <alignment horizontal="right" readingOrder="0" vertical="center"/>
    </xf>
    <xf borderId="2" fillId="9" fontId="10" numFmtId="166" xfId="0" applyAlignment="1" applyBorder="1" applyFont="1" applyNumberFormat="1">
      <alignment horizontal="center" vertical="center"/>
    </xf>
    <xf borderId="7" fillId="9" fontId="31" numFmtId="0" xfId="0" applyBorder="1" applyFont="1"/>
    <xf borderId="7" fillId="9" fontId="11" numFmtId="0" xfId="0" applyAlignment="1" applyBorder="1" applyFont="1">
      <alignment horizontal="left" vertical="center"/>
    </xf>
    <xf borderId="2" fillId="9" fontId="10" numFmtId="0" xfId="0" applyAlignment="1" applyBorder="1" applyFont="1">
      <alignment horizontal="center" vertical="center"/>
    </xf>
    <xf borderId="2" fillId="9" fontId="15" numFmtId="3" xfId="0" applyAlignment="1" applyBorder="1" applyFont="1" applyNumberFormat="1">
      <alignment horizontal="right" vertical="center"/>
    </xf>
    <xf borderId="13" fillId="11" fontId="32" numFmtId="0" xfId="0" applyAlignment="1" applyBorder="1" applyFont="1">
      <alignment horizontal="right" vertical="center"/>
    </xf>
    <xf borderId="14" fillId="0" fontId="30" numFmtId="0" xfId="0" applyBorder="1" applyFont="1"/>
    <xf borderId="15" fillId="0" fontId="30" numFmtId="0" xfId="0" applyBorder="1" applyFont="1"/>
    <xf borderId="3" fillId="11" fontId="33" numFmtId="4" xfId="0" applyAlignment="1" applyBorder="1" applyFont="1" applyNumberFormat="1">
      <alignment horizontal="right" vertical="center"/>
    </xf>
    <xf borderId="3" fillId="11" fontId="33" numFmtId="3" xfId="0" applyAlignment="1" applyBorder="1" applyFont="1" applyNumberFormat="1">
      <alignment horizontal="right" vertical="center"/>
    </xf>
    <xf borderId="3" fillId="11" fontId="15" numFmtId="166" xfId="0" applyAlignment="1" applyBorder="1" applyFont="1" applyNumberFormat="1">
      <alignment horizontal="center" vertical="center"/>
    </xf>
    <xf borderId="7" fillId="5" fontId="34" numFmtId="0" xfId="0" applyAlignment="1" applyBorder="1" applyFont="1">
      <alignment horizontal="right" vertical="center"/>
    </xf>
    <xf borderId="2" fillId="5" fontId="34" numFmtId="4" xfId="0" applyAlignment="1" applyBorder="1" applyFont="1" applyNumberFormat="1">
      <alignment horizontal="right" vertical="center"/>
    </xf>
    <xf borderId="2" fillId="5" fontId="34" numFmtId="3" xfId="0" applyAlignment="1" applyBorder="1" applyFont="1" applyNumberFormat="1">
      <alignment horizontal="right" vertical="center"/>
    </xf>
    <xf borderId="2" fillId="5" fontId="14" numFmtId="0" xfId="0" applyBorder="1" applyFont="1"/>
    <xf borderId="10" fillId="2" fontId="26" numFmtId="0" xfId="0" applyAlignment="1" applyBorder="1" applyFont="1">
      <alignment horizontal="right" vertical="center"/>
    </xf>
    <xf borderId="7" fillId="24" fontId="7" numFmtId="0" xfId="0" applyAlignment="1" applyBorder="1" applyFont="1">
      <alignment horizontal="center" vertical="center"/>
    </xf>
    <xf borderId="4" fillId="25" fontId="22" numFmtId="0" xfId="0" applyAlignment="1" applyBorder="1" applyFill="1" applyFont="1">
      <alignment horizontal="center" vertical="center"/>
    </xf>
    <xf borderId="2" fillId="9" fontId="10" numFmtId="165" xfId="0" applyAlignment="1" applyBorder="1" applyFont="1" applyNumberFormat="1">
      <alignment horizontal="center" vertical="center"/>
    </xf>
    <xf borderId="7" fillId="9" fontId="35" numFmtId="0" xfId="0" applyAlignment="1" applyBorder="1" applyFont="1">
      <alignment horizontal="center" vertical="center"/>
    </xf>
    <xf borderId="2" fillId="9" fontId="10" numFmtId="3" xfId="0" applyAlignment="1" applyBorder="1" applyFont="1" applyNumberFormat="1">
      <alignment horizontal="right" vertical="center"/>
    </xf>
    <xf borderId="2" fillId="10" fontId="10" numFmtId="165" xfId="0" applyAlignment="1" applyBorder="1" applyFont="1" applyNumberFormat="1">
      <alignment horizontal="center" vertical="center"/>
    </xf>
    <xf borderId="7" fillId="10" fontId="35" numFmtId="0" xfId="0" applyAlignment="1" applyBorder="1" applyFont="1">
      <alignment horizontal="center" vertical="center"/>
    </xf>
    <xf borderId="2" fillId="10" fontId="10" numFmtId="3" xfId="0" applyAlignment="1" applyBorder="1" applyFont="1" applyNumberFormat="1">
      <alignment horizontal="right" vertical="center"/>
    </xf>
    <xf borderId="2" fillId="13" fontId="10" numFmtId="165" xfId="0" applyAlignment="1" applyBorder="1" applyFont="1" applyNumberFormat="1">
      <alignment horizontal="center" vertical="center"/>
    </xf>
    <xf borderId="7" fillId="13" fontId="35" numFmtId="0" xfId="0" applyAlignment="1" applyBorder="1" applyFont="1">
      <alignment horizontal="center" vertical="center"/>
    </xf>
    <xf borderId="2" fillId="13" fontId="10" numFmtId="3" xfId="0" applyAlignment="1" applyBorder="1" applyFont="1" applyNumberFormat="1">
      <alignment horizontal="right" vertical="center"/>
    </xf>
    <xf borderId="2" fillId="15" fontId="10" numFmtId="165" xfId="0" applyAlignment="1" applyBorder="1" applyFont="1" applyNumberFormat="1">
      <alignment horizontal="center" vertical="center"/>
    </xf>
    <xf borderId="7" fillId="15" fontId="35" numFmtId="0" xfId="0" applyAlignment="1" applyBorder="1" applyFont="1">
      <alignment horizontal="center" vertical="center"/>
    </xf>
    <xf borderId="2" fillId="15" fontId="10" numFmtId="3" xfId="0" applyAlignment="1" applyBorder="1" applyFont="1" applyNumberFormat="1">
      <alignment horizontal="right" vertical="center"/>
    </xf>
    <xf borderId="2" fillId="16" fontId="10" numFmtId="165" xfId="0" applyAlignment="1" applyBorder="1" applyFont="1" applyNumberFormat="1">
      <alignment horizontal="center" vertical="center"/>
    </xf>
    <xf borderId="7" fillId="16" fontId="35" numFmtId="0" xfId="0" applyAlignment="1" applyBorder="1" applyFont="1">
      <alignment horizontal="center" vertical="center"/>
    </xf>
    <xf borderId="2" fillId="16" fontId="10" numFmtId="3" xfId="0" applyAlignment="1" applyBorder="1" applyFont="1" applyNumberFormat="1">
      <alignment horizontal="right" vertical="center"/>
    </xf>
    <xf borderId="2" fillId="17" fontId="10" numFmtId="165" xfId="0" applyAlignment="1" applyBorder="1" applyFont="1" applyNumberFormat="1">
      <alignment horizontal="center" vertical="center"/>
    </xf>
    <xf borderId="7" fillId="17" fontId="35" numFmtId="0" xfId="0" applyAlignment="1" applyBorder="1" applyFont="1">
      <alignment horizontal="center" vertical="center"/>
    </xf>
    <xf borderId="2" fillId="17" fontId="10" numFmtId="3" xfId="0" applyAlignment="1" applyBorder="1" applyFont="1" applyNumberFormat="1">
      <alignment horizontal="right" vertical="center"/>
    </xf>
    <xf borderId="2" fillId="18" fontId="10" numFmtId="165" xfId="0" applyAlignment="1" applyBorder="1" applyFont="1" applyNumberFormat="1">
      <alignment horizontal="center" vertical="center"/>
    </xf>
    <xf borderId="7" fillId="18" fontId="35" numFmtId="0" xfId="0" applyAlignment="1" applyBorder="1" applyFont="1">
      <alignment horizontal="center" vertical="center"/>
    </xf>
    <xf borderId="2" fillId="18" fontId="10" numFmtId="3" xfId="0" applyAlignment="1" applyBorder="1" applyFont="1" applyNumberFormat="1">
      <alignment horizontal="right" vertical="center"/>
    </xf>
    <xf borderId="2" fillId="19" fontId="10" numFmtId="165" xfId="0" applyAlignment="1" applyBorder="1" applyFont="1" applyNumberFormat="1">
      <alignment horizontal="center" vertical="center"/>
    </xf>
    <xf borderId="7" fillId="19" fontId="35" numFmtId="0" xfId="0" applyAlignment="1" applyBorder="1" applyFont="1">
      <alignment horizontal="center" vertical="center"/>
    </xf>
    <xf borderId="2" fillId="19" fontId="10" numFmtId="3" xfId="0" applyAlignment="1" applyBorder="1" applyFont="1" applyNumberFormat="1">
      <alignment horizontal="right" vertical="center"/>
    </xf>
    <xf borderId="2" fillId="20" fontId="10" numFmtId="165" xfId="0" applyAlignment="1" applyBorder="1" applyFont="1" applyNumberFormat="1">
      <alignment horizontal="center" vertical="center"/>
    </xf>
    <xf borderId="7" fillId="20" fontId="35" numFmtId="0" xfId="0" applyAlignment="1" applyBorder="1" applyFont="1">
      <alignment horizontal="center" vertical="center"/>
    </xf>
    <xf borderId="2" fillId="20" fontId="10" numFmtId="3" xfId="0" applyAlignment="1" applyBorder="1" applyFont="1" applyNumberFormat="1">
      <alignment horizontal="right" vertical="center"/>
    </xf>
    <xf borderId="2" fillId="21" fontId="10" numFmtId="165" xfId="0" applyAlignment="1" applyBorder="1" applyFont="1" applyNumberFormat="1">
      <alignment horizontal="center" vertical="center"/>
    </xf>
    <xf borderId="7" fillId="21" fontId="35" numFmtId="0" xfId="0" applyAlignment="1" applyBorder="1" applyFont="1">
      <alignment horizontal="center" vertical="center"/>
    </xf>
    <xf borderId="2" fillId="21" fontId="10" numFmtId="3" xfId="0" applyAlignment="1" applyBorder="1" applyFont="1" applyNumberFormat="1">
      <alignment horizontal="right" vertical="center"/>
    </xf>
    <xf borderId="4" fillId="2" fontId="1" numFmtId="0" xfId="0" applyAlignment="1" applyBorder="1" applyFont="1">
      <alignment horizontal="center" vertical="center"/>
    </xf>
    <xf borderId="2" fillId="24" fontId="7" numFmtId="0" xfId="0" applyAlignment="1" applyBorder="1" applyFont="1">
      <alignment horizontal="left" vertical="center"/>
    </xf>
    <xf borderId="2" fillId="13" fontId="15" numFmtId="0" xfId="0" applyAlignment="1" applyBorder="1" applyFont="1">
      <alignment horizontal="center" vertical="center"/>
    </xf>
    <xf borderId="2" fillId="5" fontId="36" numFmtId="4" xfId="0" applyAlignment="1" applyBorder="1" applyFont="1" applyNumberFormat="1">
      <alignment horizontal="right" vertical="center"/>
    </xf>
    <xf borderId="2" fillId="7" fontId="15" numFmtId="4" xfId="0" applyAlignment="1" applyBorder="1" applyFont="1" applyNumberFormat="1">
      <alignment horizontal="right" vertical="center"/>
    </xf>
    <xf borderId="2" fillId="15" fontId="15" numFmtId="0" xfId="0" applyAlignment="1" applyBorder="1" applyFont="1">
      <alignment horizontal="center" vertical="center"/>
    </xf>
    <xf borderId="2" fillId="16" fontId="15" numFmtId="0" xfId="0" applyAlignment="1" applyBorder="1" applyFont="1">
      <alignment horizontal="center" vertical="center"/>
    </xf>
    <xf borderId="2" fillId="17" fontId="15" numFmtId="0" xfId="0" applyAlignment="1" applyBorder="1" applyFont="1">
      <alignment horizontal="center" vertical="center"/>
    </xf>
    <xf borderId="2" fillId="18" fontId="15" numFmtId="0" xfId="0" applyAlignment="1" applyBorder="1" applyFont="1">
      <alignment horizontal="center" vertical="center"/>
    </xf>
    <xf borderId="2" fillId="10" fontId="15" numFmtId="0" xfId="0" applyAlignment="1" applyBorder="1" applyFont="1">
      <alignment horizontal="center" vertical="center"/>
    </xf>
    <xf borderId="2" fillId="19" fontId="15" numFmtId="0" xfId="0" applyAlignment="1" applyBorder="1" applyFont="1">
      <alignment horizontal="center" vertical="center"/>
    </xf>
    <xf borderId="2" fillId="21" fontId="15" numFmtId="0" xfId="0" applyAlignment="1" applyBorder="1" applyFont="1">
      <alignment horizontal="center" vertical="center"/>
    </xf>
    <xf borderId="2" fillId="20" fontId="15" numFmtId="0" xfId="0" applyAlignment="1" applyBorder="1" applyFont="1">
      <alignment horizontal="center" vertical="center"/>
    </xf>
    <xf borderId="2" fillId="9" fontId="15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2" fillId="4" fontId="3" numFmtId="3" xfId="0" applyAlignment="1" applyBorder="1" applyFont="1" applyNumberFormat="1">
      <alignment horizontal="right" vertical="center"/>
    </xf>
    <xf borderId="2" fillId="4" fontId="7" numFmtId="3" xfId="0" applyAlignment="1" applyBorder="1" applyFont="1" applyNumberFormat="1">
      <alignment horizontal="right" vertical="center"/>
    </xf>
    <xf borderId="2" fillId="26" fontId="15" numFmtId="0" xfId="0" applyAlignment="1" applyBorder="1" applyFill="1" applyFont="1">
      <alignment horizontal="center" vertical="center"/>
    </xf>
    <xf borderId="7" fillId="26" fontId="37" numFmtId="0" xfId="0" applyAlignment="1" applyBorder="1" applyFont="1">
      <alignment horizontal="left" vertical="center"/>
    </xf>
    <xf borderId="2" fillId="26" fontId="11" numFmtId="0" xfId="0" applyAlignment="1" applyBorder="1" applyFont="1">
      <alignment horizontal="center" vertical="center"/>
    </xf>
    <xf borderId="2" fillId="26" fontId="15" numFmtId="3" xfId="0" applyAlignment="1" applyBorder="1" applyFont="1" applyNumberFormat="1">
      <alignment horizontal="right" vertical="center"/>
    </xf>
    <xf borderId="7" fillId="26" fontId="38" numFmtId="0" xfId="0" applyAlignment="1" applyBorder="1" applyFont="1">
      <alignment horizontal="left" vertical="center"/>
    </xf>
    <xf borderId="7" fillId="10" fontId="37" numFmtId="0" xfId="0" applyAlignment="1" applyBorder="1" applyFont="1">
      <alignment horizontal="left" vertical="center"/>
    </xf>
    <xf borderId="2" fillId="10" fontId="11" numFmtId="0" xfId="0" applyAlignment="1" applyBorder="1" applyFont="1">
      <alignment horizontal="center" vertical="center"/>
    </xf>
    <xf borderId="2" fillId="10" fontId="39" numFmtId="0" xfId="0" applyAlignment="1" applyBorder="1" applyFont="1">
      <alignment horizontal="right" vertical="center"/>
    </xf>
    <xf borderId="2" fillId="7" fontId="39" numFmtId="0" xfId="0" applyAlignment="1" applyBorder="1" applyFont="1">
      <alignment horizontal="right" vertical="center"/>
    </xf>
    <xf borderId="7" fillId="10" fontId="38" numFmtId="0" xfId="0" applyAlignment="1" applyBorder="1" applyFont="1">
      <alignment horizontal="left" vertical="center"/>
    </xf>
    <xf borderId="16" fillId="11" fontId="15" numFmtId="0" xfId="0" applyAlignment="1" applyBorder="1" applyFont="1">
      <alignment horizontal="center" vertical="center"/>
    </xf>
    <xf borderId="17" fillId="11" fontId="37" numFmtId="0" xfId="0" applyAlignment="1" applyBorder="1" applyFont="1">
      <alignment horizontal="center" vertical="center"/>
    </xf>
    <xf borderId="18" fillId="0" fontId="30" numFmtId="0" xfId="0" applyBorder="1" applyFont="1"/>
    <xf borderId="19" fillId="0" fontId="30" numFmtId="0" xfId="0" applyBorder="1" applyFont="1"/>
    <xf borderId="16" fillId="11" fontId="15" numFmtId="3" xfId="0" applyAlignment="1" applyBorder="1" applyFont="1" applyNumberFormat="1">
      <alignment horizontal="right" vertical="center"/>
    </xf>
    <xf borderId="16" fillId="7" fontId="13" numFmtId="4" xfId="0" applyAlignment="1" applyBorder="1" applyFont="1" applyNumberFormat="1">
      <alignment horizontal="right" vertical="center"/>
    </xf>
    <xf borderId="17" fillId="11" fontId="14" numFmtId="0" xfId="0" applyBorder="1" applyFont="1"/>
    <xf borderId="2" fillId="27" fontId="7" numFmtId="0" xfId="0" applyAlignment="1" applyBorder="1" applyFill="1" applyFont="1">
      <alignment horizontal="right" vertical="center"/>
    </xf>
    <xf borderId="2" fillId="25" fontId="10" numFmtId="1" xfId="0" applyAlignment="1" applyBorder="1" applyFont="1" applyNumberFormat="1">
      <alignment horizontal="center" vertical="center"/>
    </xf>
    <xf borderId="2" fillId="25" fontId="10" numFmtId="165" xfId="0" applyAlignment="1" applyBorder="1" applyFont="1" applyNumberFormat="1">
      <alignment horizontal="center" vertical="center"/>
    </xf>
    <xf borderId="2" fillId="25" fontId="10" numFmtId="3" xfId="0" applyAlignment="1" applyBorder="1" applyFont="1" applyNumberFormat="1">
      <alignment horizontal="right" vertical="center"/>
    </xf>
    <xf borderId="2" fillId="25" fontId="39" numFmtId="3" xfId="0" applyAlignment="1" applyBorder="1" applyFont="1" applyNumberFormat="1">
      <alignment horizontal="right" vertical="center"/>
    </xf>
    <xf borderId="2" fillId="7" fontId="15" numFmtId="3" xfId="0" applyAlignment="1" applyBorder="1" applyFont="1" applyNumberFormat="1">
      <alignment horizontal="right" vertical="center"/>
    </xf>
    <xf borderId="2" fillId="25" fontId="40" numFmtId="0" xfId="0" applyAlignment="1" applyBorder="1" applyFont="1">
      <alignment horizontal="center" vertical="center"/>
    </xf>
    <xf borderId="2" fillId="25" fontId="37" numFmtId="0" xfId="0" applyAlignment="1" applyBorder="1" applyFont="1">
      <alignment horizontal="left" vertical="center"/>
    </xf>
    <xf borderId="2" fillId="25" fontId="10" numFmtId="165" xfId="0" applyAlignment="1" applyBorder="1" applyFont="1" applyNumberFormat="1">
      <alignment horizontal="center" readingOrder="0" vertical="center"/>
    </xf>
    <xf borderId="2" fillId="28" fontId="14" numFmtId="0" xfId="0" applyAlignment="1" applyBorder="1" applyFill="1" applyFont="1">
      <alignment horizontal="right" vertical="center"/>
    </xf>
    <xf borderId="2" fillId="7" fontId="15" numFmtId="3" xfId="0" applyAlignment="1" applyBorder="1" applyFont="1" applyNumberFormat="1">
      <alignment horizontal="right" readingOrder="0" vertical="center"/>
    </xf>
    <xf borderId="2" fillId="28" fontId="14" numFmtId="0" xfId="0" applyAlignment="1" applyBorder="1" applyFont="1">
      <alignment horizontal="center" vertical="center"/>
    </xf>
    <xf borderId="2" fillId="28" fontId="14" numFmtId="0" xfId="0" applyAlignment="1" applyBorder="1" applyFont="1">
      <alignment horizontal="left" vertical="center"/>
    </xf>
    <xf borderId="2" fillId="25" fontId="14" numFmtId="0" xfId="0" applyAlignment="1" applyBorder="1" applyFont="1">
      <alignment horizontal="center" vertical="center"/>
    </xf>
    <xf borderId="2" fillId="25" fontId="14" numFmtId="0" xfId="0" applyAlignment="1" applyBorder="1" applyFont="1">
      <alignment horizontal="right" vertical="center"/>
    </xf>
    <xf borderId="2" fillId="7" fontId="14" numFmtId="0" xfId="0" applyAlignment="1" applyBorder="1" applyFont="1">
      <alignment horizontal="right" vertical="center"/>
    </xf>
    <xf borderId="2" fillId="25" fontId="14" numFmtId="0" xfId="0" applyAlignment="1" applyBorder="1" applyFont="1">
      <alignment horizontal="left" vertical="center"/>
    </xf>
    <xf borderId="4" fillId="12" fontId="4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38.0"/>
    <col customWidth="1" min="4" max="4" width="10.0"/>
    <col customWidth="1" min="5" max="5" width="11.0"/>
    <col customWidth="1" min="6" max="6" width="10.0"/>
    <col customWidth="1" min="7" max="8" width="11.0"/>
    <col customWidth="1" min="9" max="10" width="12.0"/>
    <col customWidth="1" min="11" max="11" width="13.0"/>
    <col customWidth="1" min="12" max="15" width="8.0"/>
    <col customWidth="1" min="16" max="16" width="6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4" t="s">
        <v>2</v>
      </c>
      <c r="O1" s="5">
        <v>32.0</v>
      </c>
      <c r="P1" s="6" t="s">
        <v>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7" t="s">
        <v>4</v>
      </c>
      <c r="B2" s="7" t="s">
        <v>5</v>
      </c>
      <c r="C2" s="8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9" t="s">
        <v>12</v>
      </c>
      <c r="J2" s="9" t="s">
        <v>13</v>
      </c>
      <c r="K2" s="9" t="s">
        <v>14</v>
      </c>
      <c r="L2" s="7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0" t="s">
        <v>16</v>
      </c>
      <c r="B3" s="2"/>
      <c r="C3" s="2"/>
      <c r="D3" s="2"/>
      <c r="E3" s="2"/>
      <c r="F3" s="2"/>
      <c r="G3" s="2"/>
      <c r="H3" s="11">
        <f>E3-F3-G3</f>
        <v>0</v>
      </c>
      <c r="I3" s="11">
        <f t="shared" ref="I3:I115" si="1">E3*32</f>
        <v>0</v>
      </c>
      <c r="J3" s="11">
        <f t="shared" ref="J3:J115" si="2">G3*32</f>
        <v>0</v>
      </c>
      <c r="K3" s="11">
        <f>I3-J3</f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2">
        <v>45979.0</v>
      </c>
      <c r="B4" s="13"/>
      <c r="C4" s="14" t="s">
        <v>17</v>
      </c>
      <c r="D4" s="15" t="s">
        <v>18</v>
      </c>
      <c r="E4" s="16">
        <v>1000.0</v>
      </c>
      <c r="F4" s="17"/>
      <c r="G4" s="18"/>
      <c r="H4" s="19">
        <f t="shared" ref="H4:H114" si="3">H3+E4-F4-G4</f>
        <v>1000</v>
      </c>
      <c r="I4" s="20">
        <f t="shared" si="1"/>
        <v>32000</v>
      </c>
      <c r="J4" s="21">
        <f t="shared" si="2"/>
        <v>0</v>
      </c>
      <c r="K4" s="22">
        <f t="shared" ref="K4:K114" si="4">K3+I4-J4</f>
        <v>32000</v>
      </c>
      <c r="L4" s="23" t="s">
        <v>19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4">
        <v>45979.0</v>
      </c>
      <c r="B5" s="25" t="s">
        <v>20</v>
      </c>
      <c r="C5" s="26" t="s">
        <v>20</v>
      </c>
      <c r="D5" s="27" t="s">
        <v>21</v>
      </c>
      <c r="E5" s="28"/>
      <c r="F5" s="29"/>
      <c r="G5" s="30">
        <v>12.35</v>
      </c>
      <c r="H5" s="31">
        <f t="shared" si="3"/>
        <v>987.65</v>
      </c>
      <c r="I5" s="32">
        <f t="shared" si="1"/>
        <v>0</v>
      </c>
      <c r="J5" s="21">
        <f t="shared" si="2"/>
        <v>395.2</v>
      </c>
      <c r="K5" s="22">
        <f t="shared" si="4"/>
        <v>31604.8</v>
      </c>
      <c r="L5" s="33" t="s">
        <v>19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4">
        <v>45980.0</v>
      </c>
      <c r="B6" s="35" t="s">
        <v>22</v>
      </c>
      <c r="C6" s="36" t="s">
        <v>23</v>
      </c>
      <c r="D6" s="37" t="s">
        <v>21</v>
      </c>
      <c r="E6" s="38"/>
      <c r="F6" s="39"/>
      <c r="G6" s="40">
        <v>795.04</v>
      </c>
      <c r="H6" s="41">
        <f t="shared" si="3"/>
        <v>192.61</v>
      </c>
      <c r="I6" s="32">
        <f t="shared" si="1"/>
        <v>0</v>
      </c>
      <c r="J6" s="21">
        <f t="shared" si="2"/>
        <v>25441.28</v>
      </c>
      <c r="K6" s="22">
        <f t="shared" si="4"/>
        <v>6163.52</v>
      </c>
      <c r="L6" s="42" t="s">
        <v>19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3">
        <v>45981.0</v>
      </c>
      <c r="B7" s="44" t="s">
        <v>24</v>
      </c>
      <c r="C7" s="45" t="s">
        <v>25</v>
      </c>
      <c r="D7" s="46" t="s">
        <v>26</v>
      </c>
      <c r="E7" s="47"/>
      <c r="F7" s="48"/>
      <c r="G7" s="49">
        <v>27.14</v>
      </c>
      <c r="H7" s="41">
        <f t="shared" si="3"/>
        <v>165.47</v>
      </c>
      <c r="I7" s="32">
        <f t="shared" si="1"/>
        <v>0</v>
      </c>
      <c r="J7" s="50">
        <f t="shared" si="2"/>
        <v>868.48</v>
      </c>
      <c r="K7" s="22">
        <f t="shared" si="4"/>
        <v>5295.04</v>
      </c>
      <c r="L7" s="51" t="s">
        <v>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2">
        <v>45989.0</v>
      </c>
      <c r="B8" s="53" t="s">
        <v>27</v>
      </c>
      <c r="C8" s="54" t="s">
        <v>28</v>
      </c>
      <c r="D8" s="55" t="s">
        <v>26</v>
      </c>
      <c r="E8" s="56"/>
      <c r="F8" s="57"/>
      <c r="G8" s="58">
        <v>21.4</v>
      </c>
      <c r="H8" s="41">
        <f t="shared" si="3"/>
        <v>144.07</v>
      </c>
      <c r="I8" s="32">
        <f t="shared" si="1"/>
        <v>0</v>
      </c>
      <c r="J8" s="21">
        <f t="shared" si="2"/>
        <v>684.8</v>
      </c>
      <c r="K8" s="22">
        <f t="shared" si="4"/>
        <v>4610.24</v>
      </c>
      <c r="L8" s="59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3">
        <v>45989.0</v>
      </c>
      <c r="B9" s="44" t="s">
        <v>24</v>
      </c>
      <c r="C9" s="45" t="s">
        <v>25</v>
      </c>
      <c r="D9" s="46" t="s">
        <v>26</v>
      </c>
      <c r="E9" s="47"/>
      <c r="F9" s="48"/>
      <c r="G9" s="49">
        <v>0.4</v>
      </c>
      <c r="H9" s="41">
        <f t="shared" si="3"/>
        <v>143.67</v>
      </c>
      <c r="I9" s="32">
        <f t="shared" si="1"/>
        <v>0</v>
      </c>
      <c r="J9" s="50">
        <f t="shared" si="2"/>
        <v>12.8</v>
      </c>
      <c r="K9" s="22">
        <f t="shared" si="4"/>
        <v>4597.44</v>
      </c>
      <c r="L9" s="51" t="s">
        <v>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0" t="s">
        <v>29</v>
      </c>
      <c r="B10" s="2"/>
      <c r="C10" s="2"/>
      <c r="D10" s="2"/>
      <c r="E10" s="61">
        <v>1000.0</v>
      </c>
      <c r="F10" s="62">
        <v>27.54</v>
      </c>
      <c r="G10" s="61">
        <v>828.79</v>
      </c>
      <c r="H10" s="63">
        <f t="shared" si="3"/>
        <v>287.34</v>
      </c>
      <c r="I10" s="64">
        <f t="shared" si="1"/>
        <v>32000</v>
      </c>
      <c r="J10" s="64">
        <f t="shared" si="2"/>
        <v>26521.28</v>
      </c>
      <c r="K10" s="65">
        <f t="shared" si="4"/>
        <v>10076.16</v>
      </c>
      <c r="L10" s="6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0" t="s">
        <v>30</v>
      </c>
      <c r="B11" s="2"/>
      <c r="C11" s="2"/>
      <c r="D11" s="2"/>
      <c r="E11" s="2"/>
      <c r="F11" s="2"/>
      <c r="G11" s="2"/>
      <c r="H11" s="67">
        <f t="shared" si="3"/>
        <v>287.34</v>
      </c>
      <c r="I11" s="11">
        <f t="shared" si="1"/>
        <v>0</v>
      </c>
      <c r="J11" s="11">
        <f t="shared" si="2"/>
        <v>0</v>
      </c>
      <c r="K11" s="68">
        <f t="shared" si="4"/>
        <v>10076.16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3">
        <v>46003.0</v>
      </c>
      <c r="B12" s="44" t="s">
        <v>24</v>
      </c>
      <c r="C12" s="45" t="s">
        <v>25</v>
      </c>
      <c r="D12" s="46" t="s">
        <v>26</v>
      </c>
      <c r="E12" s="47"/>
      <c r="F12" s="48"/>
      <c r="G12" s="49">
        <v>1.68</v>
      </c>
      <c r="H12" s="41">
        <f t="shared" si="3"/>
        <v>285.66</v>
      </c>
      <c r="I12" s="32">
        <f t="shared" si="1"/>
        <v>0</v>
      </c>
      <c r="J12" s="50">
        <f t="shared" si="2"/>
        <v>53.76</v>
      </c>
      <c r="K12" s="22">
        <f t="shared" si="4"/>
        <v>10022.4</v>
      </c>
      <c r="L12" s="51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4">
        <v>46015.0</v>
      </c>
      <c r="B13" s="35" t="s">
        <v>22</v>
      </c>
      <c r="C13" s="36" t="s">
        <v>31</v>
      </c>
      <c r="D13" s="37" t="s">
        <v>21</v>
      </c>
      <c r="E13" s="38"/>
      <c r="F13" s="39"/>
      <c r="G13" s="40">
        <v>63.15</v>
      </c>
      <c r="H13" s="69">
        <f t="shared" si="3"/>
        <v>222.51</v>
      </c>
      <c r="I13" s="32">
        <f t="shared" si="1"/>
        <v>0</v>
      </c>
      <c r="J13" s="21">
        <f t="shared" si="2"/>
        <v>2020.8</v>
      </c>
      <c r="K13" s="70">
        <f t="shared" si="4"/>
        <v>8001.6</v>
      </c>
      <c r="L13" s="42" t="s">
        <v>19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4">
        <v>46015.0</v>
      </c>
      <c r="B14" s="35" t="s">
        <v>22</v>
      </c>
      <c r="C14" s="36" t="s">
        <v>32</v>
      </c>
      <c r="D14" s="37" t="s">
        <v>21</v>
      </c>
      <c r="E14" s="38"/>
      <c r="F14" s="39"/>
      <c r="G14" s="40"/>
      <c r="H14" s="69">
        <f t="shared" si="3"/>
        <v>222.51</v>
      </c>
      <c r="I14" s="32">
        <f t="shared" si="1"/>
        <v>0</v>
      </c>
      <c r="J14" s="21">
        <f t="shared" si="2"/>
        <v>0</v>
      </c>
      <c r="K14" s="70">
        <f t="shared" si="4"/>
        <v>8001.6</v>
      </c>
      <c r="L14" s="42" t="s">
        <v>19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4">
        <v>46015.0</v>
      </c>
      <c r="B15" s="35" t="s">
        <v>22</v>
      </c>
      <c r="C15" s="36" t="s">
        <v>33</v>
      </c>
      <c r="D15" s="37" t="s">
        <v>21</v>
      </c>
      <c r="E15" s="38"/>
      <c r="F15" s="39"/>
      <c r="G15" s="40"/>
      <c r="H15" s="69">
        <f t="shared" si="3"/>
        <v>222.51</v>
      </c>
      <c r="I15" s="32">
        <f t="shared" si="1"/>
        <v>0</v>
      </c>
      <c r="J15" s="21">
        <f t="shared" si="2"/>
        <v>0</v>
      </c>
      <c r="K15" s="70">
        <f t="shared" si="4"/>
        <v>8001.6</v>
      </c>
      <c r="L15" s="42" t="s">
        <v>19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3">
        <v>46015.0</v>
      </c>
      <c r="B16" s="44" t="s">
        <v>24</v>
      </c>
      <c r="C16" s="45" t="s">
        <v>25</v>
      </c>
      <c r="D16" s="46" t="s">
        <v>26</v>
      </c>
      <c r="E16" s="47"/>
      <c r="F16" s="48"/>
      <c r="G16" s="49">
        <v>2.32</v>
      </c>
      <c r="H16" s="69">
        <f t="shared" si="3"/>
        <v>220.19</v>
      </c>
      <c r="I16" s="32">
        <f t="shared" si="1"/>
        <v>0</v>
      </c>
      <c r="J16" s="50">
        <f t="shared" si="2"/>
        <v>74.24</v>
      </c>
      <c r="K16" s="70">
        <f t="shared" si="4"/>
        <v>7927.36</v>
      </c>
      <c r="L16" s="51" t="s">
        <v>19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2">
        <v>46019.0</v>
      </c>
      <c r="B17" s="53" t="s">
        <v>27</v>
      </c>
      <c r="C17" s="54" t="s">
        <v>28</v>
      </c>
      <c r="D17" s="55" t="s">
        <v>26</v>
      </c>
      <c r="E17" s="56"/>
      <c r="F17" s="57"/>
      <c r="G17" s="58">
        <v>21.4</v>
      </c>
      <c r="H17" s="69">
        <f t="shared" si="3"/>
        <v>198.79</v>
      </c>
      <c r="I17" s="32">
        <f t="shared" si="1"/>
        <v>0</v>
      </c>
      <c r="J17" s="21">
        <f t="shared" si="2"/>
        <v>684.8</v>
      </c>
      <c r="K17" s="70">
        <f t="shared" si="4"/>
        <v>7242.56</v>
      </c>
      <c r="L17" s="59" t="s">
        <v>19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3">
        <v>46019.0</v>
      </c>
      <c r="B18" s="44" t="s">
        <v>24</v>
      </c>
      <c r="C18" s="45" t="s">
        <v>25</v>
      </c>
      <c r="D18" s="46" t="s">
        <v>26</v>
      </c>
      <c r="E18" s="47"/>
      <c r="F18" s="48"/>
      <c r="G18" s="49">
        <v>0.4</v>
      </c>
      <c r="H18" s="69">
        <f t="shared" si="3"/>
        <v>198.39</v>
      </c>
      <c r="I18" s="32">
        <f t="shared" si="1"/>
        <v>0</v>
      </c>
      <c r="J18" s="50">
        <f t="shared" si="2"/>
        <v>12.8</v>
      </c>
      <c r="K18" s="70">
        <f t="shared" si="4"/>
        <v>7229.76</v>
      </c>
      <c r="L18" s="51" t="s">
        <v>19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2">
        <v>46020.0</v>
      </c>
      <c r="B19" s="53" t="s">
        <v>27</v>
      </c>
      <c r="C19" s="54" t="s">
        <v>34</v>
      </c>
      <c r="D19" s="55" t="s">
        <v>26</v>
      </c>
      <c r="E19" s="56"/>
      <c r="F19" s="57"/>
      <c r="G19" s="58">
        <v>20.11</v>
      </c>
      <c r="H19" s="69">
        <f t="shared" si="3"/>
        <v>178.28</v>
      </c>
      <c r="I19" s="32">
        <f t="shared" si="1"/>
        <v>0</v>
      </c>
      <c r="J19" s="21">
        <f t="shared" si="2"/>
        <v>643.52</v>
      </c>
      <c r="K19" s="70">
        <f t="shared" si="4"/>
        <v>6586.24</v>
      </c>
      <c r="L19" s="59" t="s">
        <v>19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3">
        <v>46020.0</v>
      </c>
      <c r="B20" s="44" t="s">
        <v>24</v>
      </c>
      <c r="C20" s="45" t="s">
        <v>25</v>
      </c>
      <c r="D20" s="46" t="s">
        <v>26</v>
      </c>
      <c r="E20" s="47"/>
      <c r="F20" s="48"/>
      <c r="G20" s="49">
        <v>0.4</v>
      </c>
      <c r="H20" s="69">
        <f t="shared" si="3"/>
        <v>177.88</v>
      </c>
      <c r="I20" s="32">
        <f t="shared" si="1"/>
        <v>0</v>
      </c>
      <c r="J20" s="50">
        <f t="shared" si="2"/>
        <v>12.8</v>
      </c>
      <c r="K20" s="70">
        <f t="shared" si="4"/>
        <v>6573.44</v>
      </c>
      <c r="L20" s="51" t="s">
        <v>19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0" t="s">
        <v>35</v>
      </c>
      <c r="B21" s="2"/>
      <c r="C21" s="2"/>
      <c r="D21" s="2"/>
      <c r="E21" s="61"/>
      <c r="F21" s="62">
        <v>4.8</v>
      </c>
      <c r="G21" s="61">
        <v>104.66</v>
      </c>
      <c r="H21" s="63">
        <f t="shared" si="3"/>
        <v>68.42</v>
      </c>
      <c r="I21" s="64">
        <f t="shared" si="1"/>
        <v>0</v>
      </c>
      <c r="J21" s="64">
        <f t="shared" si="2"/>
        <v>3349.12</v>
      </c>
      <c r="K21" s="65">
        <f t="shared" si="4"/>
        <v>3224.32</v>
      </c>
      <c r="L21" s="6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" t="s">
        <v>36</v>
      </c>
      <c r="B22" s="2"/>
      <c r="C22" s="2"/>
      <c r="D22" s="2"/>
      <c r="E22" s="2"/>
      <c r="F22" s="2"/>
      <c r="G22" s="2"/>
      <c r="H22" s="67">
        <f t="shared" si="3"/>
        <v>68.42</v>
      </c>
      <c r="I22" s="11">
        <f t="shared" si="1"/>
        <v>0</v>
      </c>
      <c r="J22" s="11">
        <f t="shared" si="2"/>
        <v>0</v>
      </c>
      <c r="K22" s="68">
        <f t="shared" si="4"/>
        <v>3224.32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>
        <v>46027.0</v>
      </c>
      <c r="B23" s="13"/>
      <c r="C23" s="14" t="s">
        <v>17</v>
      </c>
      <c r="D23" s="15" t="s">
        <v>18</v>
      </c>
      <c r="E23" s="16">
        <v>1000.0</v>
      </c>
      <c r="F23" s="17"/>
      <c r="G23" s="18"/>
      <c r="H23" s="19">
        <f t="shared" si="3"/>
        <v>1068.42</v>
      </c>
      <c r="I23" s="20">
        <f t="shared" si="1"/>
        <v>32000</v>
      </c>
      <c r="J23" s="21">
        <f t="shared" si="2"/>
        <v>0</v>
      </c>
      <c r="K23" s="22">
        <f t="shared" si="4"/>
        <v>35224.32</v>
      </c>
      <c r="L23" s="23" t="s">
        <v>19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1">
        <v>46028.0</v>
      </c>
      <c r="B24" s="72" t="s">
        <v>37</v>
      </c>
      <c r="C24" s="73" t="s">
        <v>38</v>
      </c>
      <c r="D24" s="74" t="s">
        <v>39</v>
      </c>
      <c r="E24" s="75"/>
      <c r="F24" s="76"/>
      <c r="G24" s="77">
        <v>40.76</v>
      </c>
      <c r="H24" s="78">
        <f t="shared" si="3"/>
        <v>1027.66</v>
      </c>
      <c r="I24" s="32">
        <f t="shared" si="1"/>
        <v>0</v>
      </c>
      <c r="J24" s="21">
        <f t="shared" si="2"/>
        <v>1304.32</v>
      </c>
      <c r="K24" s="22">
        <f t="shared" si="4"/>
        <v>33920</v>
      </c>
      <c r="L24" s="79" t="s">
        <v>19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4">
        <v>46029.0</v>
      </c>
      <c r="B25" s="35" t="s">
        <v>22</v>
      </c>
      <c r="C25" s="36" t="s">
        <v>40</v>
      </c>
      <c r="D25" s="37" t="s">
        <v>21</v>
      </c>
      <c r="E25" s="38"/>
      <c r="F25" s="39"/>
      <c r="G25" s="40">
        <v>24.61</v>
      </c>
      <c r="H25" s="80">
        <f t="shared" si="3"/>
        <v>1003.05</v>
      </c>
      <c r="I25" s="32">
        <f t="shared" si="1"/>
        <v>0</v>
      </c>
      <c r="J25" s="21">
        <f t="shared" si="2"/>
        <v>787.52</v>
      </c>
      <c r="K25" s="22">
        <f t="shared" si="4"/>
        <v>33132.48</v>
      </c>
      <c r="L25" s="42" t="s">
        <v>19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3">
        <v>46029.0</v>
      </c>
      <c r="B26" s="44" t="s">
        <v>24</v>
      </c>
      <c r="C26" s="45" t="s">
        <v>25</v>
      </c>
      <c r="D26" s="46" t="s">
        <v>26</v>
      </c>
      <c r="E26" s="47"/>
      <c r="F26" s="48"/>
      <c r="G26" s="49">
        <v>5.45</v>
      </c>
      <c r="H26" s="81">
        <f t="shared" si="3"/>
        <v>997.6</v>
      </c>
      <c r="I26" s="32">
        <f t="shared" si="1"/>
        <v>0</v>
      </c>
      <c r="J26" s="50">
        <f t="shared" si="2"/>
        <v>174.4</v>
      </c>
      <c r="K26" s="22">
        <f t="shared" si="4"/>
        <v>32958.08</v>
      </c>
      <c r="L26" s="51" t="s">
        <v>19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2">
        <v>46030.0</v>
      </c>
      <c r="B27" s="53" t="s">
        <v>27</v>
      </c>
      <c r="C27" s="54" t="s">
        <v>34</v>
      </c>
      <c r="D27" s="55" t="s">
        <v>26</v>
      </c>
      <c r="E27" s="56"/>
      <c r="F27" s="57"/>
      <c r="G27" s="58">
        <v>22.69</v>
      </c>
      <c r="H27" s="82">
        <f t="shared" si="3"/>
        <v>974.91</v>
      </c>
      <c r="I27" s="32">
        <f t="shared" si="1"/>
        <v>0</v>
      </c>
      <c r="J27" s="21">
        <f t="shared" si="2"/>
        <v>726.08</v>
      </c>
      <c r="K27" s="22">
        <f t="shared" si="4"/>
        <v>32232</v>
      </c>
      <c r="L27" s="59" t="s">
        <v>19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3">
        <v>46030.0</v>
      </c>
      <c r="B28" s="44" t="s">
        <v>24</v>
      </c>
      <c r="C28" s="45" t="s">
        <v>25</v>
      </c>
      <c r="D28" s="46" t="s">
        <v>26</v>
      </c>
      <c r="E28" s="47"/>
      <c r="F28" s="48"/>
      <c r="G28" s="49">
        <v>4.57</v>
      </c>
      <c r="H28" s="81">
        <f t="shared" si="3"/>
        <v>970.34</v>
      </c>
      <c r="I28" s="32">
        <f t="shared" si="1"/>
        <v>0</v>
      </c>
      <c r="J28" s="50">
        <f t="shared" si="2"/>
        <v>146.24</v>
      </c>
      <c r="K28" s="22">
        <f t="shared" si="4"/>
        <v>32085.76</v>
      </c>
      <c r="L28" s="51" t="s">
        <v>19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2">
        <v>46031.0</v>
      </c>
      <c r="B29" s="53" t="s">
        <v>27</v>
      </c>
      <c r="C29" s="54" t="s">
        <v>34</v>
      </c>
      <c r="D29" s="55" t="s">
        <v>26</v>
      </c>
      <c r="E29" s="56"/>
      <c r="F29" s="57"/>
      <c r="G29" s="58">
        <v>43.19</v>
      </c>
      <c r="H29" s="82">
        <f t="shared" si="3"/>
        <v>927.15</v>
      </c>
      <c r="I29" s="32">
        <f t="shared" si="1"/>
        <v>0</v>
      </c>
      <c r="J29" s="21">
        <f t="shared" si="2"/>
        <v>1382.08</v>
      </c>
      <c r="K29" s="22">
        <f t="shared" si="4"/>
        <v>30703.68</v>
      </c>
      <c r="L29" s="59" t="s">
        <v>19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3">
        <v>46031.0</v>
      </c>
      <c r="B30" s="44" t="s">
        <v>24</v>
      </c>
      <c r="C30" s="45" t="s">
        <v>25</v>
      </c>
      <c r="D30" s="46" t="s">
        <v>26</v>
      </c>
      <c r="E30" s="47"/>
      <c r="F30" s="48"/>
      <c r="G30" s="49">
        <v>2.26</v>
      </c>
      <c r="H30" s="81">
        <f t="shared" si="3"/>
        <v>924.89</v>
      </c>
      <c r="I30" s="32">
        <f t="shared" si="1"/>
        <v>0</v>
      </c>
      <c r="J30" s="50">
        <f t="shared" si="2"/>
        <v>72.32</v>
      </c>
      <c r="K30" s="22">
        <f t="shared" si="4"/>
        <v>30631.36</v>
      </c>
      <c r="L30" s="51" t="s">
        <v>19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3">
        <v>46044.0</v>
      </c>
      <c r="B31" s="84" t="s">
        <v>41</v>
      </c>
      <c r="C31" s="85" t="s">
        <v>42</v>
      </c>
      <c r="D31" s="86" t="s">
        <v>39</v>
      </c>
      <c r="E31" s="87"/>
      <c r="F31" s="88"/>
      <c r="G31" s="89">
        <v>60.0</v>
      </c>
      <c r="H31" s="90">
        <f t="shared" si="3"/>
        <v>864.89</v>
      </c>
      <c r="I31" s="32">
        <f t="shared" si="1"/>
        <v>0</v>
      </c>
      <c r="J31" s="21">
        <f t="shared" si="2"/>
        <v>1920</v>
      </c>
      <c r="K31" s="22">
        <f t="shared" si="4"/>
        <v>28711.36</v>
      </c>
      <c r="L31" s="91" t="s">
        <v>19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3">
        <v>46048.0</v>
      </c>
      <c r="B32" s="44" t="s">
        <v>24</v>
      </c>
      <c r="C32" s="45" t="s">
        <v>25</v>
      </c>
      <c r="D32" s="46" t="s">
        <v>26</v>
      </c>
      <c r="E32" s="47"/>
      <c r="F32" s="48"/>
      <c r="G32" s="49">
        <v>2.5</v>
      </c>
      <c r="H32" s="81">
        <f t="shared" si="3"/>
        <v>862.39</v>
      </c>
      <c r="I32" s="32">
        <f t="shared" si="1"/>
        <v>0</v>
      </c>
      <c r="J32" s="50">
        <f t="shared" si="2"/>
        <v>80</v>
      </c>
      <c r="K32" s="22">
        <f t="shared" si="4"/>
        <v>28631.36</v>
      </c>
      <c r="L32" s="51" t="s">
        <v>19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3">
        <v>46048.0</v>
      </c>
      <c r="B33" s="84" t="s">
        <v>41</v>
      </c>
      <c r="C33" s="85" t="s">
        <v>43</v>
      </c>
      <c r="D33" s="86" t="s">
        <v>39</v>
      </c>
      <c r="E33" s="87"/>
      <c r="F33" s="88"/>
      <c r="G33" s="89">
        <v>65.0</v>
      </c>
      <c r="H33" s="90">
        <f t="shared" si="3"/>
        <v>797.39</v>
      </c>
      <c r="I33" s="32">
        <f t="shared" si="1"/>
        <v>0</v>
      </c>
      <c r="J33" s="21">
        <f t="shared" si="2"/>
        <v>2080</v>
      </c>
      <c r="K33" s="22">
        <f t="shared" si="4"/>
        <v>26551.36</v>
      </c>
      <c r="L33" s="91" t="s">
        <v>19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>
        <v>46048.0</v>
      </c>
      <c r="B34" s="44" t="s">
        <v>24</v>
      </c>
      <c r="C34" s="45" t="s">
        <v>25</v>
      </c>
      <c r="D34" s="46" t="s">
        <v>26</v>
      </c>
      <c r="E34" s="47"/>
      <c r="F34" s="48"/>
      <c r="G34" s="49">
        <v>5.0</v>
      </c>
      <c r="H34" s="81">
        <f t="shared" si="3"/>
        <v>792.39</v>
      </c>
      <c r="I34" s="32">
        <f t="shared" si="1"/>
        <v>0</v>
      </c>
      <c r="J34" s="50">
        <f t="shared" si="2"/>
        <v>160</v>
      </c>
      <c r="K34" s="22">
        <f t="shared" si="4"/>
        <v>26391.36</v>
      </c>
      <c r="L34" s="51" t="s">
        <v>19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2">
        <v>46050.0</v>
      </c>
      <c r="B35" s="53" t="s">
        <v>27</v>
      </c>
      <c r="C35" s="54" t="s">
        <v>28</v>
      </c>
      <c r="D35" s="55" t="s">
        <v>26</v>
      </c>
      <c r="E35" s="56"/>
      <c r="F35" s="57"/>
      <c r="G35" s="58">
        <v>21.4</v>
      </c>
      <c r="H35" s="82">
        <f t="shared" si="3"/>
        <v>770.99</v>
      </c>
      <c r="I35" s="32">
        <f t="shared" si="1"/>
        <v>0</v>
      </c>
      <c r="J35" s="21">
        <f t="shared" si="2"/>
        <v>684.8</v>
      </c>
      <c r="K35" s="22">
        <f t="shared" si="4"/>
        <v>25706.56</v>
      </c>
      <c r="L35" s="59" t="s">
        <v>19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>
        <v>46050.0</v>
      </c>
      <c r="B36" s="44" t="s">
        <v>24</v>
      </c>
      <c r="C36" s="45" t="s">
        <v>25</v>
      </c>
      <c r="D36" s="46" t="s">
        <v>26</v>
      </c>
      <c r="E36" s="47"/>
      <c r="F36" s="48"/>
      <c r="G36" s="49">
        <v>0.4</v>
      </c>
      <c r="H36" s="81">
        <f t="shared" si="3"/>
        <v>770.59</v>
      </c>
      <c r="I36" s="32">
        <f t="shared" si="1"/>
        <v>0</v>
      </c>
      <c r="J36" s="50">
        <f t="shared" si="2"/>
        <v>12.8</v>
      </c>
      <c r="K36" s="22">
        <f t="shared" si="4"/>
        <v>25693.76</v>
      </c>
      <c r="L36" s="51" t="s">
        <v>19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2">
        <v>46050.0</v>
      </c>
      <c r="B37" s="93" t="s">
        <v>44</v>
      </c>
      <c r="C37" s="94" t="s">
        <v>45</v>
      </c>
      <c r="D37" s="95" t="s">
        <v>39</v>
      </c>
      <c r="E37" s="96"/>
      <c r="F37" s="97"/>
      <c r="G37" s="98">
        <v>5.0</v>
      </c>
      <c r="H37" s="99">
        <f t="shared" si="3"/>
        <v>765.59</v>
      </c>
      <c r="I37" s="32">
        <f t="shared" si="1"/>
        <v>0</v>
      </c>
      <c r="J37" s="21">
        <f t="shared" si="2"/>
        <v>160</v>
      </c>
      <c r="K37" s="22">
        <f t="shared" si="4"/>
        <v>25533.76</v>
      </c>
      <c r="L37" s="100" t="s">
        <v>19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>
        <v>46050.0</v>
      </c>
      <c r="B38" s="44" t="s">
        <v>24</v>
      </c>
      <c r="C38" s="45" t="s">
        <v>25</v>
      </c>
      <c r="D38" s="46" t="s">
        <v>26</v>
      </c>
      <c r="E38" s="47"/>
      <c r="F38" s="48"/>
      <c r="G38" s="49">
        <v>0.4</v>
      </c>
      <c r="H38" s="81">
        <f t="shared" si="3"/>
        <v>765.19</v>
      </c>
      <c r="I38" s="32">
        <f t="shared" si="1"/>
        <v>0</v>
      </c>
      <c r="J38" s="50">
        <f t="shared" si="2"/>
        <v>12.8</v>
      </c>
      <c r="K38" s="22">
        <f t="shared" si="4"/>
        <v>25520.96</v>
      </c>
      <c r="L38" s="51" t="s">
        <v>19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2">
        <v>46051.0</v>
      </c>
      <c r="B39" s="53" t="s">
        <v>27</v>
      </c>
      <c r="C39" s="54" t="s">
        <v>46</v>
      </c>
      <c r="D39" s="55" t="s">
        <v>26</v>
      </c>
      <c r="E39" s="56"/>
      <c r="F39" s="57"/>
      <c r="G39" s="58">
        <v>39.69</v>
      </c>
      <c r="H39" s="82">
        <f t="shared" si="3"/>
        <v>725.5</v>
      </c>
      <c r="I39" s="32">
        <f t="shared" si="1"/>
        <v>0</v>
      </c>
      <c r="J39" s="21">
        <f t="shared" si="2"/>
        <v>1270.08</v>
      </c>
      <c r="K39" s="22">
        <f t="shared" si="4"/>
        <v>24250.88</v>
      </c>
      <c r="L39" s="59" t="s">
        <v>19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0" t="s">
        <v>47</v>
      </c>
      <c r="B40" s="2"/>
      <c r="C40" s="2"/>
      <c r="D40" s="2"/>
      <c r="E40" s="61">
        <v>1000.0</v>
      </c>
      <c r="F40" s="62">
        <v>20.58</v>
      </c>
      <c r="G40" s="61">
        <v>322.34</v>
      </c>
      <c r="H40" s="63">
        <f t="shared" si="3"/>
        <v>1382.58</v>
      </c>
      <c r="I40" s="64">
        <f t="shared" si="1"/>
        <v>32000</v>
      </c>
      <c r="J40" s="64">
        <f t="shared" si="2"/>
        <v>10314.88</v>
      </c>
      <c r="K40" s="65">
        <f t="shared" si="4"/>
        <v>45936</v>
      </c>
      <c r="L40" s="6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0" t="s">
        <v>48</v>
      </c>
      <c r="B41" s="2"/>
      <c r="C41" s="2"/>
      <c r="D41" s="2"/>
      <c r="E41" s="2"/>
      <c r="F41" s="2"/>
      <c r="G41" s="2"/>
      <c r="H41" s="67">
        <f t="shared" si="3"/>
        <v>1382.58</v>
      </c>
      <c r="I41" s="11">
        <f t="shared" si="1"/>
        <v>0</v>
      </c>
      <c r="J41" s="11">
        <f t="shared" si="2"/>
        <v>0</v>
      </c>
      <c r="K41" s="68">
        <f t="shared" si="4"/>
        <v>45936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>
        <v>46062.0</v>
      </c>
      <c r="B42" s="44" t="s">
        <v>24</v>
      </c>
      <c r="C42" s="45" t="s">
        <v>25</v>
      </c>
      <c r="D42" s="46" t="s">
        <v>26</v>
      </c>
      <c r="E42" s="47"/>
      <c r="F42" s="48"/>
      <c r="G42" s="49">
        <v>0.4</v>
      </c>
      <c r="H42" s="81">
        <f t="shared" si="3"/>
        <v>1382.18</v>
      </c>
      <c r="I42" s="32">
        <f t="shared" si="1"/>
        <v>0</v>
      </c>
      <c r="J42" s="50">
        <f t="shared" si="2"/>
        <v>12.8</v>
      </c>
      <c r="K42" s="22">
        <f t="shared" si="4"/>
        <v>45923.2</v>
      </c>
      <c r="L42" s="51" t="s">
        <v>19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1">
        <v>46066.0</v>
      </c>
      <c r="B43" s="72" t="s">
        <v>37</v>
      </c>
      <c r="C43" s="73" t="s">
        <v>38</v>
      </c>
      <c r="D43" s="74" t="s">
        <v>39</v>
      </c>
      <c r="E43" s="75"/>
      <c r="F43" s="76"/>
      <c r="G43" s="77">
        <v>54.5</v>
      </c>
      <c r="H43" s="78">
        <f t="shared" si="3"/>
        <v>1327.68</v>
      </c>
      <c r="I43" s="32">
        <f t="shared" si="1"/>
        <v>0</v>
      </c>
      <c r="J43" s="21">
        <f t="shared" si="2"/>
        <v>1744</v>
      </c>
      <c r="K43" s="22">
        <f t="shared" si="4"/>
        <v>44179.2</v>
      </c>
      <c r="L43" s="79" t="s">
        <v>19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>
        <v>46066.0</v>
      </c>
      <c r="B44" s="44" t="s">
        <v>24</v>
      </c>
      <c r="C44" s="45" t="s">
        <v>25</v>
      </c>
      <c r="D44" s="46" t="s">
        <v>26</v>
      </c>
      <c r="E44" s="47"/>
      <c r="F44" s="48"/>
      <c r="G44" s="49">
        <v>0.4</v>
      </c>
      <c r="H44" s="81">
        <f t="shared" si="3"/>
        <v>1327.28</v>
      </c>
      <c r="I44" s="32">
        <f t="shared" si="1"/>
        <v>0</v>
      </c>
      <c r="J44" s="50">
        <f t="shared" si="2"/>
        <v>12.8</v>
      </c>
      <c r="K44" s="22">
        <f t="shared" si="4"/>
        <v>44166.4</v>
      </c>
      <c r="L44" s="51" t="s">
        <v>19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3">
        <v>46078.0</v>
      </c>
      <c r="B45" s="84" t="s">
        <v>41</v>
      </c>
      <c r="C45" s="85" t="s">
        <v>49</v>
      </c>
      <c r="D45" s="86" t="s">
        <v>39</v>
      </c>
      <c r="E45" s="87"/>
      <c r="F45" s="88"/>
      <c r="G45" s="89">
        <v>59.0</v>
      </c>
      <c r="H45" s="90">
        <f t="shared" si="3"/>
        <v>1268.28</v>
      </c>
      <c r="I45" s="32">
        <f t="shared" si="1"/>
        <v>0</v>
      </c>
      <c r="J45" s="21">
        <f t="shared" si="2"/>
        <v>1888</v>
      </c>
      <c r="K45" s="22">
        <f t="shared" si="4"/>
        <v>42278.4</v>
      </c>
      <c r="L45" s="91" t="s">
        <v>19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>
        <v>46078.0</v>
      </c>
      <c r="B46" s="44" t="s">
        <v>24</v>
      </c>
      <c r="C46" s="45" t="s">
        <v>25</v>
      </c>
      <c r="D46" s="46" t="s">
        <v>26</v>
      </c>
      <c r="E46" s="47"/>
      <c r="F46" s="48"/>
      <c r="G46" s="49">
        <v>2.34</v>
      </c>
      <c r="H46" s="81">
        <f t="shared" si="3"/>
        <v>1265.94</v>
      </c>
      <c r="I46" s="32">
        <f t="shared" si="1"/>
        <v>0</v>
      </c>
      <c r="J46" s="50">
        <f t="shared" si="2"/>
        <v>74.88</v>
      </c>
      <c r="K46" s="22">
        <f t="shared" si="4"/>
        <v>42203.52</v>
      </c>
      <c r="L46" s="51" t="s">
        <v>19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3">
        <v>46079.0</v>
      </c>
      <c r="B47" s="84" t="s">
        <v>41</v>
      </c>
      <c r="C47" s="85" t="s">
        <v>43</v>
      </c>
      <c r="D47" s="86" t="s">
        <v>39</v>
      </c>
      <c r="E47" s="87"/>
      <c r="F47" s="88"/>
      <c r="G47" s="89">
        <v>65.0</v>
      </c>
      <c r="H47" s="90">
        <f t="shared" si="3"/>
        <v>1200.94</v>
      </c>
      <c r="I47" s="32">
        <f t="shared" si="1"/>
        <v>0</v>
      </c>
      <c r="J47" s="21">
        <f t="shared" si="2"/>
        <v>2080</v>
      </c>
      <c r="K47" s="22">
        <f t="shared" si="4"/>
        <v>40123.52</v>
      </c>
      <c r="L47" s="91" t="s">
        <v>19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2">
        <v>46081.0</v>
      </c>
      <c r="B48" s="53" t="s">
        <v>27</v>
      </c>
      <c r="C48" s="54" t="s">
        <v>34</v>
      </c>
      <c r="D48" s="55" t="s">
        <v>26</v>
      </c>
      <c r="E48" s="56"/>
      <c r="F48" s="57"/>
      <c r="G48" s="58">
        <v>21.4</v>
      </c>
      <c r="H48" s="82">
        <f t="shared" si="3"/>
        <v>1179.54</v>
      </c>
      <c r="I48" s="32">
        <f t="shared" si="1"/>
        <v>0</v>
      </c>
      <c r="J48" s="21">
        <f t="shared" si="2"/>
        <v>684.8</v>
      </c>
      <c r="K48" s="22">
        <f t="shared" si="4"/>
        <v>39438.72</v>
      </c>
      <c r="L48" s="59" t="s">
        <v>19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>
        <v>46081.0</v>
      </c>
      <c r="B49" s="44" t="s">
        <v>24</v>
      </c>
      <c r="C49" s="45" t="s">
        <v>25</v>
      </c>
      <c r="D49" s="46" t="s">
        <v>26</v>
      </c>
      <c r="E49" s="47"/>
      <c r="F49" s="48"/>
      <c r="G49" s="49">
        <v>0.4</v>
      </c>
      <c r="H49" s="81">
        <f t="shared" si="3"/>
        <v>1179.14</v>
      </c>
      <c r="I49" s="32">
        <f t="shared" si="1"/>
        <v>0</v>
      </c>
      <c r="J49" s="50">
        <f t="shared" si="2"/>
        <v>12.8</v>
      </c>
      <c r="K49" s="22">
        <f t="shared" si="4"/>
        <v>39425.92</v>
      </c>
      <c r="L49" s="51" t="s">
        <v>19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2">
        <v>46081.0</v>
      </c>
      <c r="B50" s="93" t="s">
        <v>44</v>
      </c>
      <c r="C50" s="94" t="s">
        <v>45</v>
      </c>
      <c r="D50" s="95" t="s">
        <v>39</v>
      </c>
      <c r="E50" s="96"/>
      <c r="F50" s="97"/>
      <c r="G50" s="98">
        <v>5.0</v>
      </c>
      <c r="H50" s="99">
        <f t="shared" si="3"/>
        <v>1174.14</v>
      </c>
      <c r="I50" s="32">
        <f t="shared" si="1"/>
        <v>0</v>
      </c>
      <c r="J50" s="21">
        <f t="shared" si="2"/>
        <v>160</v>
      </c>
      <c r="K50" s="22">
        <f t="shared" si="4"/>
        <v>39265.92</v>
      </c>
      <c r="L50" s="100" t="s">
        <v>19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3">
        <v>46081.0</v>
      </c>
      <c r="B51" s="44" t="s">
        <v>24</v>
      </c>
      <c r="C51" s="45" t="s">
        <v>25</v>
      </c>
      <c r="D51" s="46" t="s">
        <v>26</v>
      </c>
      <c r="E51" s="47"/>
      <c r="F51" s="48"/>
      <c r="G51" s="49">
        <v>0.4</v>
      </c>
      <c r="H51" s="81">
        <f t="shared" si="3"/>
        <v>1173.74</v>
      </c>
      <c r="I51" s="32">
        <f t="shared" si="1"/>
        <v>0</v>
      </c>
      <c r="J51" s="50">
        <f t="shared" si="2"/>
        <v>12.8</v>
      </c>
      <c r="K51" s="22">
        <f t="shared" si="4"/>
        <v>39253.12</v>
      </c>
      <c r="L51" s="51" t="s">
        <v>19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0" t="s">
        <v>50</v>
      </c>
      <c r="B52" s="2"/>
      <c r="C52" s="2"/>
      <c r="D52" s="2"/>
      <c r="E52" s="61"/>
      <c r="F52" s="62">
        <v>3.94</v>
      </c>
      <c r="G52" s="61">
        <v>204.9</v>
      </c>
      <c r="H52" s="63">
        <f t="shared" si="3"/>
        <v>964.9</v>
      </c>
      <c r="I52" s="64">
        <f t="shared" si="1"/>
        <v>0</v>
      </c>
      <c r="J52" s="64">
        <f t="shared" si="2"/>
        <v>6556.8</v>
      </c>
      <c r="K52" s="65">
        <f t="shared" si="4"/>
        <v>32696.32</v>
      </c>
      <c r="L52" s="6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0" t="s">
        <v>51</v>
      </c>
      <c r="B53" s="2"/>
      <c r="C53" s="2"/>
      <c r="D53" s="2"/>
      <c r="E53" s="2"/>
      <c r="F53" s="2"/>
      <c r="G53" s="2"/>
      <c r="H53" s="67">
        <f t="shared" si="3"/>
        <v>964.9</v>
      </c>
      <c r="I53" s="11">
        <f t="shared" si="1"/>
        <v>0</v>
      </c>
      <c r="J53" s="11">
        <f t="shared" si="2"/>
        <v>0</v>
      </c>
      <c r="K53" s="68">
        <f t="shared" si="4"/>
        <v>32696.32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3">
        <v>46092.0</v>
      </c>
      <c r="B54" s="44" t="s">
        <v>24</v>
      </c>
      <c r="C54" s="45" t="s">
        <v>52</v>
      </c>
      <c r="D54" s="46" t="s">
        <v>26</v>
      </c>
      <c r="E54" s="47"/>
      <c r="F54" s="48"/>
      <c r="G54" s="49">
        <v>4.13</v>
      </c>
      <c r="H54" s="81">
        <f t="shared" si="3"/>
        <v>960.77</v>
      </c>
      <c r="I54" s="32">
        <f t="shared" si="1"/>
        <v>0</v>
      </c>
      <c r="J54" s="50">
        <f t="shared" si="2"/>
        <v>132.16</v>
      </c>
      <c r="K54" s="22">
        <f t="shared" si="4"/>
        <v>32564.16</v>
      </c>
      <c r="L54" s="51" t="s">
        <v>19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1">
        <v>46092.0</v>
      </c>
      <c r="B55" s="72" t="s">
        <v>37</v>
      </c>
      <c r="C55" s="73" t="s">
        <v>38</v>
      </c>
      <c r="D55" s="74" t="s">
        <v>39</v>
      </c>
      <c r="E55" s="75"/>
      <c r="F55" s="76"/>
      <c r="G55" s="77">
        <v>54.5</v>
      </c>
      <c r="H55" s="78">
        <f t="shared" si="3"/>
        <v>906.27</v>
      </c>
      <c r="I55" s="32">
        <f t="shared" si="1"/>
        <v>0</v>
      </c>
      <c r="J55" s="21">
        <f t="shared" si="2"/>
        <v>1744</v>
      </c>
      <c r="K55" s="22">
        <f t="shared" si="4"/>
        <v>30820.16</v>
      </c>
      <c r="L55" s="79" t="s">
        <v>19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3">
        <v>46092.0</v>
      </c>
      <c r="B56" s="44" t="s">
        <v>24</v>
      </c>
      <c r="C56" s="45" t="s">
        <v>52</v>
      </c>
      <c r="D56" s="46" t="s">
        <v>26</v>
      </c>
      <c r="E56" s="47"/>
      <c r="F56" s="48"/>
      <c r="G56" s="49">
        <v>4.49</v>
      </c>
      <c r="H56" s="81">
        <f t="shared" si="3"/>
        <v>901.78</v>
      </c>
      <c r="I56" s="32">
        <f t="shared" si="1"/>
        <v>0</v>
      </c>
      <c r="J56" s="50">
        <f t="shared" si="2"/>
        <v>143.68</v>
      </c>
      <c r="K56" s="22">
        <f t="shared" si="4"/>
        <v>30676.48</v>
      </c>
      <c r="L56" s="51" t="s">
        <v>19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01">
        <v>46092.0</v>
      </c>
      <c r="B57" s="102" t="s">
        <v>53</v>
      </c>
      <c r="C57" s="103" t="s">
        <v>54</v>
      </c>
      <c r="D57" s="104" t="s">
        <v>21</v>
      </c>
      <c r="E57" s="105"/>
      <c r="F57" s="106"/>
      <c r="G57" s="107">
        <v>57.41</v>
      </c>
      <c r="H57" s="108">
        <f t="shared" si="3"/>
        <v>844.37</v>
      </c>
      <c r="I57" s="32">
        <f t="shared" si="1"/>
        <v>0</v>
      </c>
      <c r="J57" s="21">
        <f t="shared" si="2"/>
        <v>1837.12</v>
      </c>
      <c r="K57" s="22">
        <f t="shared" si="4"/>
        <v>28839.36</v>
      </c>
      <c r="L57" s="109" t="s">
        <v>19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01">
        <v>46092.0</v>
      </c>
      <c r="B58" s="102" t="s">
        <v>53</v>
      </c>
      <c r="C58" s="103" t="s">
        <v>55</v>
      </c>
      <c r="D58" s="104" t="s">
        <v>21</v>
      </c>
      <c r="E58" s="105"/>
      <c r="F58" s="106"/>
      <c r="G58" s="107">
        <v>59.67</v>
      </c>
      <c r="H58" s="108">
        <f t="shared" si="3"/>
        <v>784.7</v>
      </c>
      <c r="I58" s="32">
        <f t="shared" si="1"/>
        <v>0</v>
      </c>
      <c r="J58" s="21">
        <f t="shared" si="2"/>
        <v>1909.44</v>
      </c>
      <c r="K58" s="22">
        <f t="shared" si="4"/>
        <v>26929.92</v>
      </c>
      <c r="L58" s="109" t="s">
        <v>19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01">
        <v>46092.0</v>
      </c>
      <c r="B59" s="102" t="s">
        <v>53</v>
      </c>
      <c r="C59" s="103" t="s">
        <v>56</v>
      </c>
      <c r="D59" s="104" t="s">
        <v>21</v>
      </c>
      <c r="E59" s="105"/>
      <c r="F59" s="106"/>
      <c r="G59" s="107">
        <v>15.25</v>
      </c>
      <c r="H59" s="41">
        <f t="shared" si="3"/>
        <v>769.45</v>
      </c>
      <c r="I59" s="32">
        <f t="shared" si="1"/>
        <v>0</v>
      </c>
      <c r="J59" s="21">
        <f t="shared" si="2"/>
        <v>488</v>
      </c>
      <c r="K59" s="22">
        <f t="shared" si="4"/>
        <v>26441.92</v>
      </c>
      <c r="L59" s="109" t="s">
        <v>19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3">
        <v>46099.0</v>
      </c>
      <c r="B60" s="84" t="s">
        <v>41</v>
      </c>
      <c r="C60" s="85" t="s">
        <v>57</v>
      </c>
      <c r="D60" s="86" t="s">
        <v>39</v>
      </c>
      <c r="E60" s="87"/>
      <c r="F60" s="88"/>
      <c r="G60" s="89">
        <v>8.86</v>
      </c>
      <c r="H60" s="41">
        <f t="shared" si="3"/>
        <v>760.59</v>
      </c>
      <c r="I60" s="32">
        <f t="shared" si="1"/>
        <v>0</v>
      </c>
      <c r="J60" s="21">
        <f t="shared" si="2"/>
        <v>283.52</v>
      </c>
      <c r="K60" s="22">
        <f t="shared" si="4"/>
        <v>26158.4</v>
      </c>
      <c r="L60" s="91" t="s">
        <v>19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3">
        <v>46099.0</v>
      </c>
      <c r="B61" s="44" t="s">
        <v>24</v>
      </c>
      <c r="C61" s="45" t="s">
        <v>58</v>
      </c>
      <c r="D61" s="46" t="s">
        <v>26</v>
      </c>
      <c r="E61" s="47"/>
      <c r="F61" s="48"/>
      <c r="G61" s="49">
        <v>0.8</v>
      </c>
      <c r="H61" s="41">
        <f t="shared" si="3"/>
        <v>759.79</v>
      </c>
      <c r="I61" s="32">
        <f t="shared" si="1"/>
        <v>0</v>
      </c>
      <c r="J61" s="50">
        <f t="shared" si="2"/>
        <v>25.6</v>
      </c>
      <c r="K61" s="22">
        <f t="shared" si="4"/>
        <v>26132.8</v>
      </c>
      <c r="L61" s="51" t="s">
        <v>19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3">
        <v>46099.0</v>
      </c>
      <c r="B62" s="84" t="s">
        <v>41</v>
      </c>
      <c r="C62" s="85" t="s">
        <v>57</v>
      </c>
      <c r="D62" s="86" t="s">
        <v>39</v>
      </c>
      <c r="E62" s="87"/>
      <c r="F62" s="88"/>
      <c r="G62" s="89">
        <v>8.86</v>
      </c>
      <c r="H62" s="41">
        <f t="shared" si="3"/>
        <v>750.93</v>
      </c>
      <c r="I62" s="32">
        <f t="shared" si="1"/>
        <v>0</v>
      </c>
      <c r="J62" s="21">
        <f t="shared" si="2"/>
        <v>283.52</v>
      </c>
      <c r="K62" s="22">
        <f t="shared" si="4"/>
        <v>25849.28</v>
      </c>
      <c r="L62" s="91" t="s">
        <v>19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2">
        <v>46099.0</v>
      </c>
      <c r="B63" s="53" t="s">
        <v>27</v>
      </c>
      <c r="C63" s="54" t="s">
        <v>28</v>
      </c>
      <c r="D63" s="55" t="s">
        <v>26</v>
      </c>
      <c r="E63" s="56"/>
      <c r="F63" s="57"/>
      <c r="G63" s="58">
        <v>66.8</v>
      </c>
      <c r="H63" s="41">
        <f t="shared" si="3"/>
        <v>684.13</v>
      </c>
      <c r="I63" s="32">
        <f t="shared" si="1"/>
        <v>0</v>
      </c>
      <c r="J63" s="21">
        <f t="shared" si="2"/>
        <v>2137.6</v>
      </c>
      <c r="K63" s="22">
        <f t="shared" si="4"/>
        <v>23711.68</v>
      </c>
      <c r="L63" s="59" t="s">
        <v>19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3">
        <v>46101.0</v>
      </c>
      <c r="B64" s="44" t="s">
        <v>24</v>
      </c>
      <c r="C64" s="45" t="s">
        <v>52</v>
      </c>
      <c r="D64" s="46" t="s">
        <v>26</v>
      </c>
      <c r="E64" s="47"/>
      <c r="F64" s="48"/>
      <c r="G64" s="49">
        <v>2.15</v>
      </c>
      <c r="H64" s="41">
        <f t="shared" si="3"/>
        <v>681.98</v>
      </c>
      <c r="I64" s="32">
        <f t="shared" si="1"/>
        <v>0</v>
      </c>
      <c r="J64" s="50">
        <f t="shared" si="2"/>
        <v>68.8</v>
      </c>
      <c r="K64" s="22">
        <f t="shared" si="4"/>
        <v>23642.88</v>
      </c>
      <c r="L64" s="51" t="s">
        <v>19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3">
        <v>46104.0</v>
      </c>
      <c r="B65" s="84" t="s">
        <v>41</v>
      </c>
      <c r="C65" s="85" t="s">
        <v>57</v>
      </c>
      <c r="D65" s="86" t="s">
        <v>39</v>
      </c>
      <c r="E65" s="87"/>
      <c r="F65" s="88"/>
      <c r="G65" s="89">
        <v>177.0</v>
      </c>
      <c r="H65" s="69">
        <f t="shared" si="3"/>
        <v>504.98</v>
      </c>
      <c r="I65" s="32">
        <f t="shared" si="1"/>
        <v>0</v>
      </c>
      <c r="J65" s="21">
        <f t="shared" si="2"/>
        <v>5664</v>
      </c>
      <c r="K65" s="70">
        <f t="shared" si="4"/>
        <v>17978.88</v>
      </c>
      <c r="L65" s="91" t="s">
        <v>19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3">
        <v>46104.0</v>
      </c>
      <c r="B66" s="84" t="s">
        <v>41</v>
      </c>
      <c r="C66" s="85" t="s">
        <v>57</v>
      </c>
      <c r="D66" s="86" t="s">
        <v>39</v>
      </c>
      <c r="E66" s="87"/>
      <c r="F66" s="88"/>
      <c r="G66" s="89">
        <v>5.0</v>
      </c>
      <c r="H66" s="69">
        <f t="shared" si="3"/>
        <v>499.98</v>
      </c>
      <c r="I66" s="32">
        <f t="shared" si="1"/>
        <v>0</v>
      </c>
      <c r="J66" s="21">
        <f t="shared" si="2"/>
        <v>160</v>
      </c>
      <c r="K66" s="70">
        <f t="shared" si="4"/>
        <v>17818.88</v>
      </c>
      <c r="L66" s="91" t="s">
        <v>19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3">
        <v>46104.0</v>
      </c>
      <c r="B67" s="44" t="s">
        <v>24</v>
      </c>
      <c r="C67" s="45" t="s">
        <v>52</v>
      </c>
      <c r="D67" s="46" t="s">
        <v>26</v>
      </c>
      <c r="E67" s="47"/>
      <c r="F67" s="48"/>
      <c r="G67" s="49">
        <v>1.9</v>
      </c>
      <c r="H67" s="69">
        <f t="shared" si="3"/>
        <v>498.08</v>
      </c>
      <c r="I67" s="32">
        <f t="shared" si="1"/>
        <v>0</v>
      </c>
      <c r="J67" s="50">
        <f t="shared" si="2"/>
        <v>60.8</v>
      </c>
      <c r="K67" s="70">
        <f t="shared" si="4"/>
        <v>17758.08</v>
      </c>
      <c r="L67" s="51" t="s">
        <v>19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3">
        <v>46104.0</v>
      </c>
      <c r="B68" s="44" t="s">
        <v>24</v>
      </c>
      <c r="C68" s="45" t="s">
        <v>52</v>
      </c>
      <c r="D68" s="46" t="s">
        <v>26</v>
      </c>
      <c r="E68" s="47"/>
      <c r="F68" s="48"/>
      <c r="G68" s="49">
        <v>1.6</v>
      </c>
      <c r="H68" s="69">
        <f t="shared" si="3"/>
        <v>496.48</v>
      </c>
      <c r="I68" s="32">
        <f t="shared" si="1"/>
        <v>0</v>
      </c>
      <c r="J68" s="50">
        <f t="shared" si="2"/>
        <v>51.2</v>
      </c>
      <c r="K68" s="70">
        <f t="shared" si="4"/>
        <v>17706.88</v>
      </c>
      <c r="L68" s="51" t="s">
        <v>19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3">
        <v>46104.0</v>
      </c>
      <c r="B69" s="44" t="s">
        <v>24</v>
      </c>
      <c r="C69" s="45" t="s">
        <v>58</v>
      </c>
      <c r="D69" s="46" t="s">
        <v>26</v>
      </c>
      <c r="E69" s="47"/>
      <c r="F69" s="48"/>
      <c r="G69" s="49">
        <v>1.6</v>
      </c>
      <c r="H69" s="69">
        <f t="shared" si="3"/>
        <v>494.88</v>
      </c>
      <c r="I69" s="32">
        <f t="shared" si="1"/>
        <v>0</v>
      </c>
      <c r="J69" s="50">
        <f t="shared" si="2"/>
        <v>51.2</v>
      </c>
      <c r="K69" s="70">
        <f t="shared" si="4"/>
        <v>17655.68</v>
      </c>
      <c r="L69" s="51" t="s">
        <v>19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">
        <v>46111.0</v>
      </c>
      <c r="B70" s="13"/>
      <c r="C70" s="14" t="s">
        <v>17</v>
      </c>
      <c r="D70" s="15" t="s">
        <v>18</v>
      </c>
      <c r="E70" s="16">
        <v>1000.0</v>
      </c>
      <c r="F70" s="17"/>
      <c r="G70" s="18"/>
      <c r="H70" s="19">
        <f t="shared" si="3"/>
        <v>1494.88</v>
      </c>
      <c r="I70" s="20">
        <f t="shared" si="1"/>
        <v>32000</v>
      </c>
      <c r="J70" s="21">
        <f t="shared" si="2"/>
        <v>0</v>
      </c>
      <c r="K70" s="22">
        <f t="shared" si="4"/>
        <v>49655.68</v>
      </c>
      <c r="L70" s="23" t="s">
        <v>19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3">
        <v>46112.0</v>
      </c>
      <c r="B71" s="84" t="s">
        <v>41</v>
      </c>
      <c r="C71" s="85" t="s">
        <v>43</v>
      </c>
      <c r="D71" s="86" t="s">
        <v>39</v>
      </c>
      <c r="E71" s="87"/>
      <c r="F71" s="88"/>
      <c r="G71" s="89">
        <v>65.0</v>
      </c>
      <c r="H71" s="90">
        <f t="shared" si="3"/>
        <v>1429.88</v>
      </c>
      <c r="I71" s="32">
        <f t="shared" si="1"/>
        <v>0</v>
      </c>
      <c r="J71" s="21">
        <f t="shared" si="2"/>
        <v>2080</v>
      </c>
      <c r="K71" s="22">
        <f t="shared" si="4"/>
        <v>47575.68</v>
      </c>
      <c r="L71" s="91" t="s">
        <v>19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3">
        <v>46112.0</v>
      </c>
      <c r="B72" s="44" t="s">
        <v>24</v>
      </c>
      <c r="C72" s="45" t="s">
        <v>52</v>
      </c>
      <c r="D72" s="46" t="s">
        <v>26</v>
      </c>
      <c r="E72" s="47"/>
      <c r="F72" s="48"/>
      <c r="G72" s="49">
        <v>4.9</v>
      </c>
      <c r="H72" s="81">
        <f t="shared" si="3"/>
        <v>1424.98</v>
      </c>
      <c r="I72" s="32">
        <f t="shared" si="1"/>
        <v>0</v>
      </c>
      <c r="J72" s="50">
        <f t="shared" si="2"/>
        <v>156.8</v>
      </c>
      <c r="K72" s="22">
        <f t="shared" si="4"/>
        <v>47418.88</v>
      </c>
      <c r="L72" s="51" t="s">
        <v>19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0" t="s">
        <v>59</v>
      </c>
      <c r="B73" s="2"/>
      <c r="C73" s="2"/>
      <c r="D73" s="2"/>
      <c r="E73" s="61">
        <v>1000.0</v>
      </c>
      <c r="F73" s="62">
        <v>21.57</v>
      </c>
      <c r="G73" s="61">
        <v>518.35</v>
      </c>
      <c r="H73" s="63">
        <f t="shared" si="3"/>
        <v>1885.06</v>
      </c>
      <c r="I73" s="64">
        <f t="shared" si="1"/>
        <v>32000</v>
      </c>
      <c r="J73" s="64">
        <f t="shared" si="2"/>
        <v>16587.2</v>
      </c>
      <c r="K73" s="65">
        <f t="shared" si="4"/>
        <v>62831.68</v>
      </c>
      <c r="L73" s="6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0" t="s">
        <v>60</v>
      </c>
      <c r="B74" s="2"/>
      <c r="C74" s="2"/>
      <c r="D74" s="2"/>
      <c r="E74" s="2"/>
      <c r="F74" s="2"/>
      <c r="G74" s="2"/>
      <c r="H74" s="67">
        <f t="shared" si="3"/>
        <v>1885.06</v>
      </c>
      <c r="I74" s="11">
        <f t="shared" si="1"/>
        <v>0</v>
      </c>
      <c r="J74" s="11">
        <f t="shared" si="2"/>
        <v>0</v>
      </c>
      <c r="K74" s="68">
        <f t="shared" si="4"/>
        <v>62831.68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0">
        <v>46114.0</v>
      </c>
      <c r="B75" s="111" t="s">
        <v>61</v>
      </c>
      <c r="C75" s="112" t="s">
        <v>62</v>
      </c>
      <c r="D75" s="113" t="s">
        <v>26</v>
      </c>
      <c r="E75" s="114"/>
      <c r="F75" s="115"/>
      <c r="G75" s="116">
        <v>27.26</v>
      </c>
      <c r="H75" s="117">
        <f t="shared" si="3"/>
        <v>1857.8</v>
      </c>
      <c r="I75" s="32">
        <f t="shared" si="1"/>
        <v>0</v>
      </c>
      <c r="J75" s="21">
        <f t="shared" si="2"/>
        <v>872.32</v>
      </c>
      <c r="K75" s="22">
        <f t="shared" si="4"/>
        <v>61959.36</v>
      </c>
      <c r="L75" s="118" t="s">
        <v>19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3">
        <v>46114.0</v>
      </c>
      <c r="B76" s="44" t="s">
        <v>24</v>
      </c>
      <c r="C76" s="45" t="s">
        <v>58</v>
      </c>
      <c r="D76" s="46" t="s">
        <v>26</v>
      </c>
      <c r="E76" s="47"/>
      <c r="F76" s="48"/>
      <c r="G76" s="49">
        <v>1.6</v>
      </c>
      <c r="H76" s="81">
        <f t="shared" si="3"/>
        <v>1856.2</v>
      </c>
      <c r="I76" s="32">
        <f t="shared" si="1"/>
        <v>0</v>
      </c>
      <c r="J76" s="50">
        <f t="shared" si="2"/>
        <v>51.2</v>
      </c>
      <c r="K76" s="22">
        <f t="shared" si="4"/>
        <v>61908.16</v>
      </c>
      <c r="L76" s="51" t="s">
        <v>19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3">
        <v>46114.0</v>
      </c>
      <c r="B77" s="44" t="s">
        <v>24</v>
      </c>
      <c r="C77" s="45" t="s">
        <v>52</v>
      </c>
      <c r="D77" s="46" t="s">
        <v>26</v>
      </c>
      <c r="E77" s="47"/>
      <c r="F77" s="48"/>
      <c r="G77" s="49">
        <v>4.55</v>
      </c>
      <c r="H77" s="81">
        <f t="shared" si="3"/>
        <v>1851.65</v>
      </c>
      <c r="I77" s="32">
        <f t="shared" si="1"/>
        <v>0</v>
      </c>
      <c r="J77" s="50">
        <f t="shared" si="2"/>
        <v>145.6</v>
      </c>
      <c r="K77" s="22">
        <f t="shared" si="4"/>
        <v>61762.56</v>
      </c>
      <c r="L77" s="51" t="s">
        <v>19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3">
        <v>46116.0</v>
      </c>
      <c r="B78" s="84" t="s">
        <v>41</v>
      </c>
      <c r="C78" s="85" t="s">
        <v>63</v>
      </c>
      <c r="D78" s="86" t="s">
        <v>39</v>
      </c>
      <c r="E78" s="87"/>
      <c r="F78" s="88"/>
      <c r="G78" s="89">
        <v>34.39</v>
      </c>
      <c r="H78" s="90">
        <f t="shared" si="3"/>
        <v>1817.26</v>
      </c>
      <c r="I78" s="32">
        <f t="shared" si="1"/>
        <v>0</v>
      </c>
      <c r="J78" s="21">
        <f t="shared" si="2"/>
        <v>1100.48</v>
      </c>
      <c r="K78" s="22">
        <f t="shared" si="4"/>
        <v>60662.08</v>
      </c>
      <c r="L78" s="91" t="s">
        <v>19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1">
        <v>46119.0</v>
      </c>
      <c r="B79" s="72" t="s">
        <v>37</v>
      </c>
      <c r="C79" s="73" t="s">
        <v>38</v>
      </c>
      <c r="D79" s="74" t="s">
        <v>39</v>
      </c>
      <c r="E79" s="75"/>
      <c r="F79" s="76"/>
      <c r="G79" s="77">
        <v>54.5</v>
      </c>
      <c r="H79" s="78">
        <f t="shared" si="3"/>
        <v>1762.76</v>
      </c>
      <c r="I79" s="32">
        <f t="shared" si="1"/>
        <v>0</v>
      </c>
      <c r="J79" s="21">
        <f t="shared" si="2"/>
        <v>1744</v>
      </c>
      <c r="K79" s="22">
        <f t="shared" si="4"/>
        <v>58918.08</v>
      </c>
      <c r="L79" s="79" t="s">
        <v>19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3">
        <v>46134.0</v>
      </c>
      <c r="B80" s="84" t="s">
        <v>41</v>
      </c>
      <c r="C80" s="85" t="s">
        <v>57</v>
      </c>
      <c r="D80" s="86" t="s">
        <v>39</v>
      </c>
      <c r="E80" s="87"/>
      <c r="F80" s="88"/>
      <c r="G80" s="89">
        <v>177.0</v>
      </c>
      <c r="H80" s="90">
        <f t="shared" si="3"/>
        <v>1585.76</v>
      </c>
      <c r="I80" s="32">
        <f t="shared" si="1"/>
        <v>0</v>
      </c>
      <c r="J80" s="21">
        <f t="shared" si="2"/>
        <v>5664</v>
      </c>
      <c r="K80" s="22">
        <f t="shared" si="4"/>
        <v>53254.08</v>
      </c>
      <c r="L80" s="91" t="s">
        <v>19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3">
        <v>46134.0</v>
      </c>
      <c r="B81" s="44" t="s">
        <v>24</v>
      </c>
      <c r="C81" s="45" t="s">
        <v>52</v>
      </c>
      <c r="D81" s="46" t="s">
        <v>26</v>
      </c>
      <c r="E81" s="47"/>
      <c r="F81" s="48"/>
      <c r="G81" s="49">
        <v>7.0</v>
      </c>
      <c r="H81" s="81">
        <f t="shared" si="3"/>
        <v>1578.76</v>
      </c>
      <c r="I81" s="32">
        <f t="shared" si="1"/>
        <v>0</v>
      </c>
      <c r="J81" s="50">
        <f t="shared" si="2"/>
        <v>224</v>
      </c>
      <c r="K81" s="22">
        <f t="shared" si="4"/>
        <v>53030.08</v>
      </c>
      <c r="L81" s="51" t="s">
        <v>19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3">
        <v>46139.0</v>
      </c>
      <c r="B82" s="44" t="s">
        <v>24</v>
      </c>
      <c r="C82" s="45" t="s">
        <v>58</v>
      </c>
      <c r="D82" s="46" t="s">
        <v>26</v>
      </c>
      <c r="E82" s="47"/>
      <c r="F82" s="48"/>
      <c r="G82" s="49">
        <v>0.4</v>
      </c>
      <c r="H82" s="81">
        <f t="shared" si="3"/>
        <v>1578.36</v>
      </c>
      <c r="I82" s="32">
        <f t="shared" si="1"/>
        <v>0</v>
      </c>
      <c r="J82" s="50">
        <f t="shared" si="2"/>
        <v>12.8</v>
      </c>
      <c r="K82" s="22">
        <f t="shared" si="4"/>
        <v>53017.28</v>
      </c>
      <c r="L82" s="51" t="s">
        <v>19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3">
        <v>46139.0</v>
      </c>
      <c r="B83" s="44" t="s">
        <v>24</v>
      </c>
      <c r="C83" s="45" t="s">
        <v>52</v>
      </c>
      <c r="D83" s="46" t="s">
        <v>26</v>
      </c>
      <c r="E83" s="47"/>
      <c r="F83" s="48"/>
      <c r="G83" s="49">
        <v>7.98</v>
      </c>
      <c r="H83" s="81">
        <f t="shared" si="3"/>
        <v>1570.38</v>
      </c>
      <c r="I83" s="32">
        <f t="shared" si="1"/>
        <v>0</v>
      </c>
      <c r="J83" s="50">
        <f t="shared" si="2"/>
        <v>255.36</v>
      </c>
      <c r="K83" s="22">
        <f t="shared" si="4"/>
        <v>52761.92</v>
      </c>
      <c r="L83" s="51" t="s">
        <v>19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3">
        <v>46139.0</v>
      </c>
      <c r="B84" s="84" t="s">
        <v>41</v>
      </c>
      <c r="C84" s="85" t="s">
        <v>43</v>
      </c>
      <c r="D84" s="86" t="s">
        <v>39</v>
      </c>
      <c r="E84" s="87"/>
      <c r="F84" s="88"/>
      <c r="G84" s="89">
        <v>65.0</v>
      </c>
      <c r="H84" s="90">
        <f t="shared" si="3"/>
        <v>1505.38</v>
      </c>
      <c r="I84" s="32">
        <f t="shared" si="1"/>
        <v>0</v>
      </c>
      <c r="J84" s="21">
        <f t="shared" si="2"/>
        <v>2080</v>
      </c>
      <c r="K84" s="22">
        <f t="shared" si="4"/>
        <v>50681.92</v>
      </c>
      <c r="L84" s="91" t="s">
        <v>19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0">
        <v>46139.0</v>
      </c>
      <c r="B85" s="111" t="s">
        <v>61</v>
      </c>
      <c r="C85" s="112" t="s">
        <v>64</v>
      </c>
      <c r="D85" s="113" t="s">
        <v>26</v>
      </c>
      <c r="E85" s="114"/>
      <c r="F85" s="115"/>
      <c r="G85" s="116">
        <v>14.8</v>
      </c>
      <c r="H85" s="117">
        <f t="shared" si="3"/>
        <v>1490.58</v>
      </c>
      <c r="I85" s="32">
        <f t="shared" si="1"/>
        <v>0</v>
      </c>
      <c r="J85" s="21">
        <f t="shared" si="2"/>
        <v>473.6</v>
      </c>
      <c r="K85" s="22">
        <f t="shared" si="4"/>
        <v>50208.32</v>
      </c>
      <c r="L85" s="118" t="s">
        <v>19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0">
        <v>46139.0</v>
      </c>
      <c r="B86" s="111" t="s">
        <v>61</v>
      </c>
      <c r="C86" s="112" t="s">
        <v>62</v>
      </c>
      <c r="D86" s="113" t="s">
        <v>26</v>
      </c>
      <c r="E86" s="114"/>
      <c r="F86" s="115"/>
      <c r="G86" s="116">
        <v>73.98</v>
      </c>
      <c r="H86" s="117">
        <f t="shared" si="3"/>
        <v>1416.6</v>
      </c>
      <c r="I86" s="32">
        <f t="shared" si="1"/>
        <v>0</v>
      </c>
      <c r="J86" s="21">
        <f t="shared" si="2"/>
        <v>2367.36</v>
      </c>
      <c r="K86" s="22">
        <f t="shared" si="4"/>
        <v>47840.96</v>
      </c>
      <c r="L86" s="118" t="s">
        <v>19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3">
        <v>46139.0</v>
      </c>
      <c r="B87" s="44" t="s">
        <v>24</v>
      </c>
      <c r="C87" s="45" t="s">
        <v>58</v>
      </c>
      <c r="D87" s="46" t="s">
        <v>26</v>
      </c>
      <c r="E87" s="47"/>
      <c r="F87" s="48"/>
      <c r="G87" s="49">
        <v>15.89</v>
      </c>
      <c r="H87" s="81">
        <f t="shared" si="3"/>
        <v>1400.71</v>
      </c>
      <c r="I87" s="32">
        <f t="shared" si="1"/>
        <v>0</v>
      </c>
      <c r="J87" s="50">
        <f t="shared" si="2"/>
        <v>508.48</v>
      </c>
      <c r="K87" s="22">
        <f t="shared" si="4"/>
        <v>47332.48</v>
      </c>
      <c r="L87" s="51" t="s">
        <v>19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9">
        <v>46139.0</v>
      </c>
      <c r="B88" s="120" t="s">
        <v>65</v>
      </c>
      <c r="C88" s="121" t="s">
        <v>65</v>
      </c>
      <c r="D88" s="122" t="s">
        <v>26</v>
      </c>
      <c r="E88" s="123"/>
      <c r="F88" s="124"/>
      <c r="G88" s="125">
        <v>24.5</v>
      </c>
      <c r="H88" s="126">
        <f t="shared" si="3"/>
        <v>1376.21</v>
      </c>
      <c r="I88" s="32">
        <f t="shared" si="1"/>
        <v>0</v>
      </c>
      <c r="J88" s="21">
        <f t="shared" si="2"/>
        <v>784</v>
      </c>
      <c r="K88" s="22">
        <f t="shared" si="4"/>
        <v>46548.48</v>
      </c>
      <c r="L88" s="127" t="s">
        <v>19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2">
        <v>46140.0</v>
      </c>
      <c r="B89" s="93" t="s">
        <v>44</v>
      </c>
      <c r="C89" s="94" t="s">
        <v>45</v>
      </c>
      <c r="D89" s="95" t="s">
        <v>39</v>
      </c>
      <c r="E89" s="96"/>
      <c r="F89" s="97"/>
      <c r="G89" s="98">
        <v>5.0</v>
      </c>
      <c r="H89" s="99">
        <f t="shared" si="3"/>
        <v>1371.21</v>
      </c>
      <c r="I89" s="32">
        <f t="shared" si="1"/>
        <v>0</v>
      </c>
      <c r="J89" s="21">
        <f t="shared" si="2"/>
        <v>160</v>
      </c>
      <c r="K89" s="22">
        <f t="shared" si="4"/>
        <v>46388.48</v>
      </c>
      <c r="L89" s="100" t="s">
        <v>19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3">
        <v>46140.0</v>
      </c>
      <c r="B90" s="44" t="s">
        <v>24</v>
      </c>
      <c r="C90" s="45" t="s">
        <v>58</v>
      </c>
      <c r="D90" s="46" t="s">
        <v>26</v>
      </c>
      <c r="E90" s="47"/>
      <c r="F90" s="48"/>
      <c r="G90" s="49">
        <v>7.99</v>
      </c>
      <c r="H90" s="81">
        <f t="shared" si="3"/>
        <v>1363.22</v>
      </c>
      <c r="I90" s="32">
        <f t="shared" si="1"/>
        <v>0</v>
      </c>
      <c r="J90" s="50">
        <f t="shared" si="2"/>
        <v>255.68</v>
      </c>
      <c r="K90" s="22">
        <f t="shared" si="4"/>
        <v>46132.8</v>
      </c>
      <c r="L90" s="51" t="s">
        <v>19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0" t="s">
        <v>66</v>
      </c>
      <c r="B91" s="2"/>
      <c r="C91" s="2"/>
      <c r="D91" s="2"/>
      <c r="E91" s="61"/>
      <c r="F91" s="62">
        <v>45.41</v>
      </c>
      <c r="G91" s="61">
        <v>476.43</v>
      </c>
      <c r="H91" s="63">
        <f t="shared" si="3"/>
        <v>841.38</v>
      </c>
      <c r="I91" s="64">
        <f t="shared" si="1"/>
        <v>0</v>
      </c>
      <c r="J91" s="64">
        <f t="shared" si="2"/>
        <v>15245.76</v>
      </c>
      <c r="K91" s="65">
        <f t="shared" si="4"/>
        <v>30887.04</v>
      </c>
      <c r="L91" s="66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0" t="s">
        <v>67</v>
      </c>
      <c r="B92" s="2"/>
      <c r="C92" s="2"/>
      <c r="D92" s="2"/>
      <c r="E92" s="2"/>
      <c r="F92" s="2"/>
      <c r="G92" s="2"/>
      <c r="H92" s="67">
        <f t="shared" si="3"/>
        <v>841.38</v>
      </c>
      <c r="I92" s="11">
        <f t="shared" si="1"/>
        <v>0</v>
      </c>
      <c r="J92" s="11">
        <f t="shared" si="2"/>
        <v>0</v>
      </c>
      <c r="K92" s="68">
        <f t="shared" si="4"/>
        <v>30887.04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1">
        <v>46143.0</v>
      </c>
      <c r="B93" s="72" t="s">
        <v>37</v>
      </c>
      <c r="C93" s="73" t="s">
        <v>38</v>
      </c>
      <c r="D93" s="74" t="s">
        <v>39</v>
      </c>
      <c r="E93" s="75"/>
      <c r="F93" s="76"/>
      <c r="G93" s="77">
        <v>54.5</v>
      </c>
      <c r="H93" s="78">
        <f t="shared" si="3"/>
        <v>786.88</v>
      </c>
      <c r="I93" s="32">
        <f t="shared" si="1"/>
        <v>0</v>
      </c>
      <c r="J93" s="21">
        <f t="shared" si="2"/>
        <v>1744</v>
      </c>
      <c r="K93" s="22">
        <f t="shared" si="4"/>
        <v>29143.04</v>
      </c>
      <c r="L93" s="79" t="s">
        <v>19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0">
        <v>46144.0</v>
      </c>
      <c r="B94" s="111" t="s">
        <v>61</v>
      </c>
      <c r="C94" s="112" t="s">
        <v>62</v>
      </c>
      <c r="D94" s="113" t="s">
        <v>26</v>
      </c>
      <c r="E94" s="114"/>
      <c r="F94" s="115"/>
      <c r="G94" s="116">
        <v>16.81</v>
      </c>
      <c r="H94" s="117">
        <f t="shared" si="3"/>
        <v>770.07</v>
      </c>
      <c r="I94" s="32">
        <f t="shared" si="1"/>
        <v>0</v>
      </c>
      <c r="J94" s="21">
        <f t="shared" si="2"/>
        <v>537.92</v>
      </c>
      <c r="K94" s="22">
        <f t="shared" si="4"/>
        <v>28605.12</v>
      </c>
      <c r="L94" s="118" t="s">
        <v>19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4">
        <v>46156.0</v>
      </c>
      <c r="B95" s="35" t="s">
        <v>22</v>
      </c>
      <c r="C95" s="36" t="s">
        <v>68</v>
      </c>
      <c r="D95" s="37" t="s">
        <v>21</v>
      </c>
      <c r="E95" s="38"/>
      <c r="F95" s="39"/>
      <c r="G95" s="40">
        <v>40.6</v>
      </c>
      <c r="H95" s="80">
        <f t="shared" si="3"/>
        <v>729.47</v>
      </c>
      <c r="I95" s="32">
        <f t="shared" si="1"/>
        <v>0</v>
      </c>
      <c r="J95" s="21">
        <f t="shared" si="2"/>
        <v>1299.2</v>
      </c>
      <c r="K95" s="22">
        <f t="shared" si="4"/>
        <v>27305.92</v>
      </c>
      <c r="L95" s="42" t="s">
        <v>19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4">
        <v>46156.0</v>
      </c>
      <c r="B96" s="35" t="s">
        <v>22</v>
      </c>
      <c r="C96" s="36" t="s">
        <v>69</v>
      </c>
      <c r="D96" s="37" t="s">
        <v>21</v>
      </c>
      <c r="E96" s="38"/>
      <c r="F96" s="39"/>
      <c r="G96" s="40"/>
      <c r="H96" s="80">
        <f t="shared" si="3"/>
        <v>729.47</v>
      </c>
      <c r="I96" s="32">
        <f t="shared" si="1"/>
        <v>0</v>
      </c>
      <c r="J96" s="21">
        <f t="shared" si="2"/>
        <v>0</v>
      </c>
      <c r="K96" s="22">
        <f t="shared" si="4"/>
        <v>27305.92</v>
      </c>
      <c r="L96" s="42" t="s">
        <v>19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4">
        <v>46156.0</v>
      </c>
      <c r="B97" s="35" t="s">
        <v>22</v>
      </c>
      <c r="C97" s="36" t="s">
        <v>70</v>
      </c>
      <c r="D97" s="37" t="s">
        <v>21</v>
      </c>
      <c r="E97" s="38"/>
      <c r="F97" s="39"/>
      <c r="G97" s="40"/>
      <c r="H97" s="80">
        <f t="shared" si="3"/>
        <v>729.47</v>
      </c>
      <c r="I97" s="32">
        <f t="shared" si="1"/>
        <v>0</v>
      </c>
      <c r="J97" s="21">
        <f t="shared" si="2"/>
        <v>0</v>
      </c>
      <c r="K97" s="22">
        <f t="shared" si="4"/>
        <v>27305.92</v>
      </c>
      <c r="L97" s="42" t="s">
        <v>19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4">
        <v>46156.0</v>
      </c>
      <c r="B98" s="35" t="s">
        <v>22</v>
      </c>
      <c r="C98" s="36" t="s">
        <v>71</v>
      </c>
      <c r="D98" s="37" t="s">
        <v>21</v>
      </c>
      <c r="E98" s="38"/>
      <c r="F98" s="39"/>
      <c r="G98" s="40"/>
      <c r="H98" s="80">
        <f t="shared" si="3"/>
        <v>729.47</v>
      </c>
      <c r="I98" s="32">
        <f t="shared" si="1"/>
        <v>0</v>
      </c>
      <c r="J98" s="21">
        <f t="shared" si="2"/>
        <v>0</v>
      </c>
      <c r="K98" s="22">
        <f t="shared" si="4"/>
        <v>27305.92</v>
      </c>
      <c r="L98" s="42" t="s">
        <v>19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8">
        <v>46157.0</v>
      </c>
      <c r="B99" s="129" t="s">
        <v>72</v>
      </c>
      <c r="C99" s="130" t="s">
        <v>73</v>
      </c>
      <c r="D99" s="131" t="s">
        <v>21</v>
      </c>
      <c r="E99" s="132"/>
      <c r="F99" s="133"/>
      <c r="G99" s="134">
        <v>33.3</v>
      </c>
      <c r="H99" s="41">
        <f t="shared" si="3"/>
        <v>696.17</v>
      </c>
      <c r="I99" s="32">
        <f t="shared" si="1"/>
        <v>0</v>
      </c>
      <c r="J99" s="21">
        <f t="shared" si="2"/>
        <v>1065.6</v>
      </c>
      <c r="K99" s="22">
        <f t="shared" si="4"/>
        <v>26240.32</v>
      </c>
      <c r="L99" s="135" t="s">
        <v>19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4">
        <v>46160.0</v>
      </c>
      <c r="B100" s="35" t="s">
        <v>22</v>
      </c>
      <c r="C100" s="36" t="s">
        <v>74</v>
      </c>
      <c r="D100" s="37" t="s">
        <v>21</v>
      </c>
      <c r="E100" s="38"/>
      <c r="F100" s="39"/>
      <c r="G100" s="40">
        <v>28.94</v>
      </c>
      <c r="H100" s="41">
        <f t="shared" si="3"/>
        <v>667.23</v>
      </c>
      <c r="I100" s="32">
        <f t="shared" si="1"/>
        <v>0</v>
      </c>
      <c r="J100" s="21">
        <f t="shared" si="2"/>
        <v>926.08</v>
      </c>
      <c r="K100" s="22">
        <f t="shared" si="4"/>
        <v>25314.24</v>
      </c>
      <c r="L100" s="42" t="s">
        <v>19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4">
        <v>46161.0</v>
      </c>
      <c r="B101" s="35" t="s">
        <v>22</v>
      </c>
      <c r="C101" s="36" t="s">
        <v>75</v>
      </c>
      <c r="D101" s="37" t="s">
        <v>21</v>
      </c>
      <c r="E101" s="38"/>
      <c r="F101" s="39"/>
      <c r="G101" s="40">
        <v>43.81</v>
      </c>
      <c r="H101" s="41">
        <f t="shared" si="3"/>
        <v>623.42</v>
      </c>
      <c r="I101" s="32">
        <f t="shared" si="1"/>
        <v>0</v>
      </c>
      <c r="J101" s="21">
        <f t="shared" si="2"/>
        <v>1401.92</v>
      </c>
      <c r="K101" s="22">
        <f t="shared" si="4"/>
        <v>23912.32</v>
      </c>
      <c r="L101" s="42" t="s">
        <v>19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4">
        <v>46161.0</v>
      </c>
      <c r="B102" s="35" t="s">
        <v>22</v>
      </c>
      <c r="C102" s="36" t="s">
        <v>76</v>
      </c>
      <c r="D102" s="37" t="s">
        <v>21</v>
      </c>
      <c r="E102" s="38"/>
      <c r="F102" s="39"/>
      <c r="G102" s="40"/>
      <c r="H102" s="41">
        <f t="shared" si="3"/>
        <v>623.42</v>
      </c>
      <c r="I102" s="32">
        <f t="shared" si="1"/>
        <v>0</v>
      </c>
      <c r="J102" s="21">
        <f t="shared" si="2"/>
        <v>0</v>
      </c>
      <c r="K102" s="22">
        <f t="shared" si="4"/>
        <v>23912.32</v>
      </c>
      <c r="L102" s="42" t="s">
        <v>19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4">
        <v>46161.0</v>
      </c>
      <c r="B103" s="35" t="s">
        <v>22</v>
      </c>
      <c r="C103" s="36" t="s">
        <v>77</v>
      </c>
      <c r="D103" s="37" t="s">
        <v>21</v>
      </c>
      <c r="E103" s="38"/>
      <c r="F103" s="39"/>
      <c r="G103" s="40"/>
      <c r="H103" s="41">
        <f t="shared" si="3"/>
        <v>623.42</v>
      </c>
      <c r="I103" s="32">
        <f t="shared" si="1"/>
        <v>0</v>
      </c>
      <c r="J103" s="21">
        <f t="shared" si="2"/>
        <v>0</v>
      </c>
      <c r="K103" s="22">
        <f t="shared" si="4"/>
        <v>23912.32</v>
      </c>
      <c r="L103" s="42" t="s">
        <v>19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4">
        <v>46167.0</v>
      </c>
      <c r="B104" s="35" t="s">
        <v>22</v>
      </c>
      <c r="C104" s="36" t="s">
        <v>78</v>
      </c>
      <c r="D104" s="37" t="s">
        <v>21</v>
      </c>
      <c r="E104" s="38"/>
      <c r="F104" s="39"/>
      <c r="G104" s="40">
        <v>3.64</v>
      </c>
      <c r="H104" s="41">
        <f t="shared" si="3"/>
        <v>619.78</v>
      </c>
      <c r="I104" s="136">
        <f t="shared" si="1"/>
        <v>0</v>
      </c>
      <c r="J104" s="136">
        <f t="shared" si="2"/>
        <v>116.48</v>
      </c>
      <c r="K104" s="137">
        <f t="shared" si="4"/>
        <v>23795.84</v>
      </c>
      <c r="L104" s="42" t="s">
        <v>19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3">
        <v>46168.0</v>
      </c>
      <c r="B105" s="84" t="s">
        <v>41</v>
      </c>
      <c r="C105" s="85" t="s">
        <v>43</v>
      </c>
      <c r="D105" s="86" t="s">
        <v>39</v>
      </c>
      <c r="E105" s="87"/>
      <c r="F105" s="88"/>
      <c r="G105" s="89">
        <v>65.0</v>
      </c>
      <c r="H105" s="41">
        <f t="shared" si="3"/>
        <v>554.78</v>
      </c>
      <c r="I105" s="136">
        <f t="shared" si="1"/>
        <v>0</v>
      </c>
      <c r="J105" s="136">
        <f t="shared" si="2"/>
        <v>2080</v>
      </c>
      <c r="K105" s="137">
        <f t="shared" si="4"/>
        <v>21715.84</v>
      </c>
      <c r="L105" s="42" t="s">
        <v>19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>
        <v>46168.0</v>
      </c>
      <c r="B106" s="13"/>
      <c r="C106" s="14" t="s">
        <v>17</v>
      </c>
      <c r="D106" s="15" t="s">
        <v>18</v>
      </c>
      <c r="E106" s="16">
        <v>2000.0</v>
      </c>
      <c r="F106" s="17"/>
      <c r="G106" s="18"/>
      <c r="H106" s="41">
        <f t="shared" si="3"/>
        <v>2554.78</v>
      </c>
      <c r="I106" s="20">
        <f t="shared" si="1"/>
        <v>64000</v>
      </c>
      <c r="J106" s="136">
        <f t="shared" si="2"/>
        <v>0</v>
      </c>
      <c r="K106" s="137">
        <f t="shared" si="4"/>
        <v>85715.84</v>
      </c>
      <c r="L106" s="42" t="s">
        <v>19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3">
        <v>46168.0</v>
      </c>
      <c r="B107" s="84" t="s">
        <v>41</v>
      </c>
      <c r="C107" s="85" t="s">
        <v>57</v>
      </c>
      <c r="D107" s="86" t="s">
        <v>39</v>
      </c>
      <c r="E107" s="87"/>
      <c r="F107" s="88"/>
      <c r="G107" s="89">
        <v>177.0</v>
      </c>
      <c r="H107" s="41">
        <f t="shared" si="3"/>
        <v>2377.78</v>
      </c>
      <c r="I107" s="20">
        <f t="shared" si="1"/>
        <v>0</v>
      </c>
      <c r="J107" s="136">
        <f t="shared" si="2"/>
        <v>5664</v>
      </c>
      <c r="K107" s="137">
        <f t="shared" si="4"/>
        <v>80051.84</v>
      </c>
      <c r="L107" s="42" t="s">
        <v>19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4">
        <v>46168.0</v>
      </c>
      <c r="B108" s="35" t="s">
        <v>22</v>
      </c>
      <c r="C108" s="138" t="s">
        <v>79</v>
      </c>
      <c r="D108" s="37" t="s">
        <v>21</v>
      </c>
      <c r="E108" s="38"/>
      <c r="F108" s="39"/>
      <c r="G108" s="139">
        <v>14.72</v>
      </c>
      <c r="H108" s="41">
        <f t="shared" si="3"/>
        <v>2363.06</v>
      </c>
      <c r="I108" s="20">
        <f t="shared" si="1"/>
        <v>0</v>
      </c>
      <c r="J108" s="136">
        <f t="shared" si="2"/>
        <v>471.04</v>
      </c>
      <c r="K108" s="137">
        <f t="shared" si="4"/>
        <v>79580.8</v>
      </c>
      <c r="L108" s="42" t="s">
        <v>19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4">
        <v>46168.0</v>
      </c>
      <c r="B109" s="35" t="s">
        <v>22</v>
      </c>
      <c r="C109" s="138" t="s">
        <v>80</v>
      </c>
      <c r="D109" s="37" t="s">
        <v>21</v>
      </c>
      <c r="E109" s="38"/>
      <c r="F109" s="39"/>
      <c r="G109" s="139">
        <v>14.72</v>
      </c>
      <c r="H109" s="41">
        <f t="shared" si="3"/>
        <v>2348.34</v>
      </c>
      <c r="I109" s="20">
        <f t="shared" si="1"/>
        <v>0</v>
      </c>
      <c r="J109" s="136">
        <f t="shared" si="2"/>
        <v>471.04</v>
      </c>
      <c r="K109" s="137">
        <f t="shared" si="4"/>
        <v>79109.76</v>
      </c>
      <c r="L109" s="42" t="s">
        <v>19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4">
        <v>46168.0</v>
      </c>
      <c r="B110" s="35" t="s">
        <v>22</v>
      </c>
      <c r="C110" s="138" t="s">
        <v>81</v>
      </c>
      <c r="D110" s="37" t="s">
        <v>21</v>
      </c>
      <c r="E110" s="38"/>
      <c r="F110" s="39"/>
      <c r="G110" s="139">
        <v>14.72</v>
      </c>
      <c r="H110" s="41">
        <f t="shared" si="3"/>
        <v>2333.62</v>
      </c>
      <c r="I110" s="20">
        <f t="shared" si="1"/>
        <v>0</v>
      </c>
      <c r="J110" s="136">
        <f t="shared" si="2"/>
        <v>471.04</v>
      </c>
      <c r="K110" s="137">
        <f t="shared" si="4"/>
        <v>78638.72</v>
      </c>
      <c r="L110" s="42" t="s">
        <v>19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40">
        <v>46168.0</v>
      </c>
      <c r="B111" s="141" t="s">
        <v>82</v>
      </c>
      <c r="C111" s="142" t="s">
        <v>83</v>
      </c>
      <c r="D111" s="143" t="s">
        <v>39</v>
      </c>
      <c r="E111" s="144"/>
      <c r="F111" s="145"/>
      <c r="G111" s="146">
        <v>10.77</v>
      </c>
      <c r="H111" s="41">
        <f t="shared" si="3"/>
        <v>2322.85</v>
      </c>
      <c r="I111" s="20">
        <f t="shared" si="1"/>
        <v>0</v>
      </c>
      <c r="J111" s="136">
        <f t="shared" si="2"/>
        <v>344.64</v>
      </c>
      <c r="K111" s="137">
        <f t="shared" si="4"/>
        <v>78294.08</v>
      </c>
      <c r="L111" s="42" t="s">
        <v>19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4">
        <v>46169.0</v>
      </c>
      <c r="B112" s="35" t="s">
        <v>22</v>
      </c>
      <c r="C112" s="138" t="s">
        <v>84</v>
      </c>
      <c r="D112" s="37" t="s">
        <v>21</v>
      </c>
      <c r="E112" s="38"/>
      <c r="F112" s="39"/>
      <c r="G112" s="139">
        <v>19.48</v>
      </c>
      <c r="H112" s="41">
        <f t="shared" si="3"/>
        <v>2303.37</v>
      </c>
      <c r="I112" s="20">
        <f t="shared" si="1"/>
        <v>0</v>
      </c>
      <c r="J112" s="136">
        <f t="shared" si="2"/>
        <v>623.36</v>
      </c>
      <c r="K112" s="137">
        <f t="shared" si="4"/>
        <v>77670.72</v>
      </c>
      <c r="L112" s="42" t="s">
        <v>19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4">
        <v>46169.0</v>
      </c>
      <c r="B113" s="35" t="s">
        <v>22</v>
      </c>
      <c r="C113" s="138" t="s">
        <v>85</v>
      </c>
      <c r="D113" s="37" t="s">
        <v>21</v>
      </c>
      <c r="E113" s="38"/>
      <c r="F113" s="39"/>
      <c r="G113" s="139">
        <v>19.48</v>
      </c>
      <c r="H113" s="41">
        <f t="shared" si="3"/>
        <v>2283.89</v>
      </c>
      <c r="I113" s="20">
        <f t="shared" si="1"/>
        <v>0</v>
      </c>
      <c r="J113" s="136">
        <f t="shared" si="2"/>
        <v>623.36</v>
      </c>
      <c r="K113" s="137">
        <f t="shared" si="4"/>
        <v>77047.36</v>
      </c>
      <c r="L113" s="42" t="s">
        <v>19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4">
        <v>46169.0</v>
      </c>
      <c r="B114" s="35" t="s">
        <v>22</v>
      </c>
      <c r="C114" s="138" t="s">
        <v>86</v>
      </c>
      <c r="D114" s="37" t="s">
        <v>21</v>
      </c>
      <c r="E114" s="38"/>
      <c r="F114" s="39"/>
      <c r="G114" s="139">
        <v>19.48</v>
      </c>
      <c r="H114" s="41">
        <f t="shared" si="3"/>
        <v>2264.41</v>
      </c>
      <c r="I114" s="20">
        <f t="shared" si="1"/>
        <v>0</v>
      </c>
      <c r="J114" s="136">
        <f t="shared" si="2"/>
        <v>623.36</v>
      </c>
      <c r="K114" s="137">
        <f t="shared" si="4"/>
        <v>76424</v>
      </c>
      <c r="L114" s="42" t="s">
        <v>19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0">
        <v>46170.0</v>
      </c>
      <c r="B115" s="111" t="s">
        <v>61</v>
      </c>
      <c r="C115" s="112" t="s">
        <v>64</v>
      </c>
      <c r="D115" s="113"/>
      <c r="E115" s="114"/>
      <c r="F115" s="115"/>
      <c r="G115" s="147">
        <v>22.63</v>
      </c>
      <c r="H115" s="41">
        <f>H111+E115-F115-G115</f>
        <v>2300.22</v>
      </c>
      <c r="I115" s="20">
        <f t="shared" si="1"/>
        <v>0</v>
      </c>
      <c r="J115" s="136">
        <f t="shared" si="2"/>
        <v>724.16</v>
      </c>
      <c r="K115" s="137">
        <f>K111+I115-J115</f>
        <v>77569.92</v>
      </c>
      <c r="L115" s="42" t="s">
        <v>19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48"/>
      <c r="B116" s="148"/>
      <c r="C116" s="148"/>
      <c r="D116" s="148"/>
      <c r="E116" s="149"/>
      <c r="F116" s="150"/>
      <c r="G116" s="149"/>
      <c r="H116" s="151"/>
      <c r="I116" s="152"/>
      <c r="J116" s="136"/>
      <c r="K116" s="137">
        <f>K115+I116-J116</f>
        <v>77569.92</v>
      </c>
      <c r="L116" s="42" t="s">
        <v>19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53"/>
      <c r="B117" s="153"/>
      <c r="C117" s="153"/>
      <c r="D117" s="153"/>
      <c r="E117" s="154"/>
      <c r="F117" s="155"/>
      <c r="G117" s="154"/>
      <c r="H117" s="156">
        <f>H105+E117-F117-G117</f>
        <v>554.78</v>
      </c>
      <c r="I117" s="136">
        <f t="shared" ref="I117:I121" si="5">E117*32</f>
        <v>0</v>
      </c>
      <c r="J117" s="136">
        <f t="shared" ref="J117:J121" si="6">G117*32</f>
        <v>0</v>
      </c>
      <c r="K117" s="137">
        <f>K105+I117-J117</f>
        <v>21715.84</v>
      </c>
      <c r="L117" s="42" t="s">
        <v>19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0" t="s">
        <v>87</v>
      </c>
      <c r="B118" s="2"/>
      <c r="C118" s="2"/>
      <c r="D118" s="2"/>
      <c r="E118" s="61"/>
      <c r="F118" s="62"/>
      <c r="G118" s="61">
        <v>217.96</v>
      </c>
      <c r="H118" s="63">
        <f t="shared" ref="H118:H121" si="7">H117+E118-F118-G118</f>
        <v>336.82</v>
      </c>
      <c r="I118" s="64">
        <f t="shared" si="5"/>
        <v>0</v>
      </c>
      <c r="J118" s="64">
        <f t="shared" si="6"/>
        <v>6974.72</v>
      </c>
      <c r="K118" s="65">
        <f t="shared" ref="K118:K121" si="8">K117+I118-J118</f>
        <v>14741.12</v>
      </c>
      <c r="L118" s="6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157" t="s">
        <v>88</v>
      </c>
      <c r="B119" s="2"/>
      <c r="C119" s="2"/>
      <c r="D119" s="2"/>
      <c r="E119" s="158">
        <v>3000.0</v>
      </c>
      <c r="F119" s="159">
        <v>123.84</v>
      </c>
      <c r="G119" s="160">
        <v>2673.43</v>
      </c>
      <c r="H119" s="160">
        <f t="shared" si="7"/>
        <v>539.55</v>
      </c>
      <c r="I119" s="161">
        <f t="shared" si="5"/>
        <v>96000</v>
      </c>
      <c r="J119" s="161">
        <f t="shared" si="6"/>
        <v>85549.76</v>
      </c>
      <c r="K119" s="162">
        <f t="shared" si="8"/>
        <v>25191.36</v>
      </c>
      <c r="L119" s="16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67">
        <f t="shared" si="7"/>
        <v>539.55</v>
      </c>
      <c r="I120" s="11">
        <f t="shared" si="5"/>
        <v>0</v>
      </c>
      <c r="J120" s="11">
        <f t="shared" si="6"/>
        <v>0</v>
      </c>
      <c r="K120" s="68">
        <f t="shared" si="8"/>
        <v>25191.36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64" t="s">
        <v>89</v>
      </c>
      <c r="B121" s="2"/>
      <c r="C121" s="2"/>
      <c r="D121" s="2"/>
      <c r="E121" s="2"/>
      <c r="F121" s="2"/>
      <c r="G121" s="2"/>
      <c r="H121" s="67">
        <f t="shared" si="7"/>
        <v>539.55</v>
      </c>
      <c r="I121" s="11">
        <f t="shared" si="5"/>
        <v>0</v>
      </c>
      <c r="J121" s="11">
        <f t="shared" si="6"/>
        <v>0</v>
      </c>
      <c r="K121" s="68">
        <f t="shared" si="8"/>
        <v>25191.36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165" t="s">
        <v>90</v>
      </c>
      <c r="C123" s="2"/>
      <c r="D123" s="2"/>
      <c r="E123" s="165">
        <f t="shared" ref="E123:G123" si="9">SUM(E3:E121)</f>
        <v>11000</v>
      </c>
      <c r="F123" s="165">
        <f t="shared" si="9"/>
        <v>247.68</v>
      </c>
      <c r="G123" s="165">
        <f t="shared" si="9"/>
        <v>8525.77</v>
      </c>
      <c r="H123" s="165"/>
      <c r="I123" s="165">
        <f t="shared" ref="I123:J123" si="10">SUM(I3:I121)</f>
        <v>352000</v>
      </c>
      <c r="J123" s="165">
        <f t="shared" si="10"/>
        <v>272824.64</v>
      </c>
      <c r="K123" s="16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2.0"/>
    <col customWidth="1" min="4" max="4" width="11.0"/>
    <col customWidth="1" min="5" max="5" width="28.0"/>
    <col customWidth="1" min="6" max="7" width="10.0"/>
    <col customWidth="1" min="8" max="9" width="13.0"/>
    <col customWidth="1" min="10" max="10" width="10.0"/>
  </cols>
  <sheetData>
    <row r="1" ht="27.75" customHeight="1">
      <c r="A1" s="166" t="s">
        <v>91</v>
      </c>
      <c r="B1" s="167"/>
      <c r="C1" s="167"/>
      <c r="D1" s="167"/>
      <c r="E1" s="167"/>
      <c r="F1" s="167"/>
      <c r="G1" s="167"/>
      <c r="H1" s="167"/>
      <c r="I1" s="167"/>
      <c r="J1" s="16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69" t="s">
        <v>92</v>
      </c>
      <c r="B2" s="167"/>
      <c r="C2" s="167"/>
      <c r="D2" s="167"/>
      <c r="E2" s="167"/>
      <c r="F2" s="167"/>
      <c r="G2" s="167"/>
      <c r="H2" s="167"/>
      <c r="I2" s="167"/>
      <c r="J2" s="16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70" t="s">
        <v>93</v>
      </c>
      <c r="B4" s="167"/>
      <c r="C4" s="167"/>
      <c r="D4" s="167"/>
      <c r="E4" s="167"/>
      <c r="F4" s="167"/>
      <c r="G4" s="167"/>
      <c r="H4" s="167"/>
      <c r="I4" s="167"/>
      <c r="J4" s="16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9" t="s">
        <v>94</v>
      </c>
      <c r="B5" s="9" t="s">
        <v>95</v>
      </c>
      <c r="C5" s="9" t="s">
        <v>96</v>
      </c>
      <c r="D5" s="171" t="s">
        <v>97</v>
      </c>
      <c r="E5" s="172"/>
      <c r="F5" s="172"/>
      <c r="G5" s="17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174">
        <v>45979.0</v>
      </c>
      <c r="B6" s="16">
        <v>1000.0</v>
      </c>
      <c r="C6" s="20">
        <v>32000.0</v>
      </c>
      <c r="D6" s="175" t="s">
        <v>98</v>
      </c>
      <c r="E6" s="172"/>
      <c r="F6" s="172"/>
      <c r="G6" s="17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174">
        <v>46027.0</v>
      </c>
      <c r="B7" s="16">
        <v>1000.0</v>
      </c>
      <c r="C7" s="20">
        <v>32000.0</v>
      </c>
      <c r="D7" s="175" t="s">
        <v>98</v>
      </c>
      <c r="E7" s="172"/>
      <c r="F7" s="172"/>
      <c r="G7" s="17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174">
        <v>46111.0</v>
      </c>
      <c r="B8" s="16">
        <v>1000.0</v>
      </c>
      <c r="C8" s="20">
        <v>32000.0</v>
      </c>
      <c r="D8" s="175" t="s">
        <v>98</v>
      </c>
      <c r="E8" s="172"/>
      <c r="F8" s="172"/>
      <c r="G8" s="17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176" t="s">
        <v>99</v>
      </c>
      <c r="B9" s="177">
        <v>3000.0</v>
      </c>
      <c r="C9" s="178">
        <v>96000.0</v>
      </c>
      <c r="D9" s="179"/>
      <c r="E9" s="180"/>
      <c r="F9" s="180"/>
      <c r="G9" s="18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70" t="s">
        <v>100</v>
      </c>
      <c r="B11" s="167"/>
      <c r="C11" s="167"/>
      <c r="D11" s="167"/>
      <c r="E11" s="167"/>
      <c r="F11" s="167"/>
      <c r="G11" s="167"/>
      <c r="H11" s="167"/>
      <c r="I11" s="167"/>
      <c r="J11" s="16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82" t="s">
        <v>101</v>
      </c>
      <c r="B12" s="173"/>
      <c r="C12" s="182" t="s">
        <v>102</v>
      </c>
      <c r="D12" s="173"/>
      <c r="E12" s="183" t="s">
        <v>7</v>
      </c>
      <c r="F12" s="183" t="s">
        <v>103</v>
      </c>
      <c r="G12" s="184" t="s">
        <v>104</v>
      </c>
      <c r="H12" s="184" t="s">
        <v>105</v>
      </c>
      <c r="I12" s="183" t="s">
        <v>106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85" t="s">
        <v>27</v>
      </c>
      <c r="B13" s="173"/>
      <c r="C13" s="186" t="s">
        <v>107</v>
      </c>
      <c r="D13" s="173"/>
      <c r="E13" s="55" t="s">
        <v>26</v>
      </c>
      <c r="F13" s="187">
        <v>9.0</v>
      </c>
      <c r="G13" s="82">
        <v>278.08</v>
      </c>
      <c r="H13" s="188">
        <v>8898.56</v>
      </c>
      <c r="I13" s="189">
        <v>0.104016188940799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90" t="s">
        <v>37</v>
      </c>
      <c r="B14" s="173"/>
      <c r="C14" s="191" t="s">
        <v>108</v>
      </c>
      <c r="D14" s="173"/>
      <c r="E14" s="74" t="s">
        <v>39</v>
      </c>
      <c r="F14" s="192">
        <v>5.0</v>
      </c>
      <c r="G14" s="78">
        <v>258.76</v>
      </c>
      <c r="H14" s="193">
        <v>8280.32</v>
      </c>
      <c r="I14" s="194">
        <v>0.0967895175860224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195" t="s">
        <v>41</v>
      </c>
      <c r="B15" s="173"/>
      <c r="C15" s="196" t="s">
        <v>109</v>
      </c>
      <c r="D15" s="173"/>
      <c r="E15" s="86" t="s">
        <v>39</v>
      </c>
      <c r="F15" s="197">
        <v>12.0</v>
      </c>
      <c r="G15" s="90">
        <v>790.11</v>
      </c>
      <c r="H15" s="198">
        <v>25283.52</v>
      </c>
      <c r="I15" s="199">
        <v>0.295541682407993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00" t="s">
        <v>44</v>
      </c>
      <c r="B16" s="173"/>
      <c r="C16" s="201" t="s">
        <v>110</v>
      </c>
      <c r="D16" s="173"/>
      <c r="E16" s="95" t="s">
        <v>39</v>
      </c>
      <c r="F16" s="202">
        <v>3.0</v>
      </c>
      <c r="G16" s="99">
        <v>15.0</v>
      </c>
      <c r="H16" s="203">
        <v>480.0</v>
      </c>
      <c r="I16" s="204">
        <v>0.00561076968538544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05" t="s">
        <v>53</v>
      </c>
      <c r="B17" s="173"/>
      <c r="C17" s="206" t="s">
        <v>111</v>
      </c>
      <c r="D17" s="173"/>
      <c r="E17" s="104" t="s">
        <v>21</v>
      </c>
      <c r="F17" s="207">
        <v>3.0</v>
      </c>
      <c r="G17" s="108">
        <v>132.33</v>
      </c>
      <c r="H17" s="208">
        <v>4234.56</v>
      </c>
      <c r="I17" s="209">
        <v>0.0494982101644703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10" t="s">
        <v>22</v>
      </c>
      <c r="B18" s="173"/>
      <c r="C18" s="211" t="s">
        <v>112</v>
      </c>
      <c r="D18" s="173"/>
      <c r="E18" s="37" t="s">
        <v>21</v>
      </c>
      <c r="F18" s="212">
        <v>13.0</v>
      </c>
      <c r="G18" s="80">
        <v>996.15</v>
      </c>
      <c r="H18" s="213">
        <v>31876.8</v>
      </c>
      <c r="I18" s="214">
        <v>0.372611214806447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15" t="s">
        <v>61</v>
      </c>
      <c r="B19" s="173"/>
      <c r="C19" s="216" t="s">
        <v>113</v>
      </c>
      <c r="D19" s="173"/>
      <c r="E19" s="113" t="s">
        <v>26</v>
      </c>
      <c r="F19" s="217">
        <v>4.0</v>
      </c>
      <c r="G19" s="117">
        <v>132.85</v>
      </c>
      <c r="H19" s="218">
        <v>4251.2</v>
      </c>
      <c r="I19" s="219">
        <v>0.049692716846897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20" t="s">
        <v>72</v>
      </c>
      <c r="B20" s="173"/>
      <c r="C20" s="221" t="s">
        <v>114</v>
      </c>
      <c r="D20" s="173"/>
      <c r="E20" s="131" t="s">
        <v>21</v>
      </c>
      <c r="F20" s="222">
        <v>1.0</v>
      </c>
      <c r="G20" s="223">
        <v>33.3</v>
      </c>
      <c r="H20" s="224">
        <v>1065.6</v>
      </c>
      <c r="I20" s="225">
        <v>0.0124559087015557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26" t="s">
        <v>65</v>
      </c>
      <c r="B21" s="173"/>
      <c r="C21" s="227" t="s">
        <v>115</v>
      </c>
      <c r="D21" s="173"/>
      <c r="E21" s="122" t="s">
        <v>26</v>
      </c>
      <c r="F21" s="228">
        <v>1.0</v>
      </c>
      <c r="G21" s="126">
        <v>24.5</v>
      </c>
      <c r="H21" s="229">
        <v>784.0</v>
      </c>
      <c r="I21" s="230">
        <v>0.00916425715279622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31" t="s">
        <v>116</v>
      </c>
      <c r="B22" s="173"/>
      <c r="C22" s="232" t="s">
        <v>117</v>
      </c>
      <c r="D22" s="173"/>
      <c r="E22" s="233" t="s">
        <v>39</v>
      </c>
      <c r="F22" s="234">
        <v>1.0</v>
      </c>
      <c r="G22" s="235">
        <v>10.77</v>
      </c>
      <c r="H22" s="236">
        <v>45.0</v>
      </c>
      <c r="I22" s="23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38" t="s">
        <v>20</v>
      </c>
      <c r="B23" s="173"/>
      <c r="C23" s="239" t="s">
        <v>118</v>
      </c>
      <c r="D23" s="173"/>
      <c r="E23" s="27" t="s">
        <v>21</v>
      </c>
      <c r="F23" s="240">
        <v>1.0</v>
      </c>
      <c r="G23" s="31">
        <v>12.35</v>
      </c>
      <c r="H23" s="241">
        <v>395.2</v>
      </c>
      <c r="I23" s="237">
        <v>0.00461953370763401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42" t="s">
        <v>119</v>
      </c>
      <c r="B24" s="243"/>
      <c r="C24" s="243"/>
      <c r="D24" s="243"/>
      <c r="E24" s="243"/>
      <c r="F24" s="244"/>
      <c r="G24" s="245">
        <v>2673.43</v>
      </c>
      <c r="H24" s="246">
        <v>85549.76</v>
      </c>
      <c r="I24" s="247">
        <v>1.0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48" t="s">
        <v>120</v>
      </c>
      <c r="B25" s="172"/>
      <c r="C25" s="172"/>
      <c r="D25" s="172"/>
      <c r="E25" s="172"/>
      <c r="F25" s="173"/>
      <c r="G25" s="249">
        <v>123.84</v>
      </c>
      <c r="H25" s="250">
        <v>3962.88</v>
      </c>
      <c r="I25" s="25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52" t="s">
        <v>121</v>
      </c>
      <c r="B26" s="180"/>
      <c r="C26" s="180"/>
      <c r="D26" s="180"/>
      <c r="E26" s="180"/>
      <c r="F26" s="181"/>
      <c r="G26" s="160">
        <v>202.729999999999</v>
      </c>
      <c r="H26" s="162">
        <v>6487.35999999998</v>
      </c>
      <c r="I26" s="16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70" t="s">
        <v>122</v>
      </c>
      <c r="B28" s="167"/>
      <c r="C28" s="167"/>
      <c r="D28" s="167"/>
      <c r="E28" s="167"/>
      <c r="F28" s="167"/>
      <c r="G28" s="167"/>
      <c r="H28" s="167"/>
      <c r="I28" s="167"/>
      <c r="J28" s="16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183" t="s">
        <v>4</v>
      </c>
      <c r="B29" s="253" t="s">
        <v>5</v>
      </c>
      <c r="C29" s="173"/>
      <c r="D29" s="182" t="s">
        <v>6</v>
      </c>
      <c r="E29" s="172"/>
      <c r="F29" s="172"/>
      <c r="G29" s="173"/>
      <c r="H29" s="184" t="s">
        <v>123</v>
      </c>
      <c r="I29" s="184" t="s">
        <v>124</v>
      </c>
      <c r="J29" s="183" t="s">
        <v>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54" t="s">
        <v>125</v>
      </c>
      <c r="B30" s="167"/>
      <c r="C30" s="167"/>
      <c r="D30" s="167"/>
      <c r="E30" s="167"/>
      <c r="F30" s="167"/>
      <c r="G30" s="167"/>
      <c r="H30" s="167"/>
      <c r="I30" s="167"/>
      <c r="J30" s="16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55">
        <v>45979.0</v>
      </c>
      <c r="B31" s="256" t="s">
        <v>20</v>
      </c>
      <c r="C31" s="173"/>
      <c r="D31" s="239" t="s">
        <v>20</v>
      </c>
      <c r="E31" s="172"/>
      <c r="F31" s="172"/>
      <c r="G31" s="173"/>
      <c r="H31" s="30">
        <v>12.35</v>
      </c>
      <c r="I31" s="257">
        <v>395.2</v>
      </c>
      <c r="J31" s="27" t="s">
        <v>21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8">
        <v>45980.0</v>
      </c>
      <c r="B32" s="259" t="s">
        <v>22</v>
      </c>
      <c r="C32" s="173"/>
      <c r="D32" s="211" t="s">
        <v>23</v>
      </c>
      <c r="E32" s="172"/>
      <c r="F32" s="172"/>
      <c r="G32" s="173"/>
      <c r="H32" s="40">
        <v>795.04</v>
      </c>
      <c r="I32" s="260">
        <v>25441.28</v>
      </c>
      <c r="J32" s="37" t="s">
        <v>21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61">
        <v>45989.0</v>
      </c>
      <c r="B33" s="262" t="s">
        <v>27</v>
      </c>
      <c r="C33" s="173"/>
      <c r="D33" s="186" t="s">
        <v>28</v>
      </c>
      <c r="E33" s="172"/>
      <c r="F33" s="172"/>
      <c r="G33" s="173"/>
      <c r="H33" s="58">
        <v>21.4</v>
      </c>
      <c r="I33" s="263">
        <v>684.8</v>
      </c>
      <c r="J33" s="55" t="s">
        <v>26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54" t="s">
        <v>126</v>
      </c>
      <c r="B34" s="167"/>
      <c r="C34" s="167"/>
      <c r="D34" s="167"/>
      <c r="E34" s="167"/>
      <c r="F34" s="167"/>
      <c r="G34" s="167"/>
      <c r="H34" s="167"/>
      <c r="I34" s="167"/>
      <c r="J34" s="16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58">
        <v>46015.0</v>
      </c>
      <c r="B35" s="259" t="s">
        <v>22</v>
      </c>
      <c r="C35" s="173"/>
      <c r="D35" s="211" t="s">
        <v>31</v>
      </c>
      <c r="E35" s="172"/>
      <c r="F35" s="172"/>
      <c r="G35" s="173"/>
      <c r="H35" s="40">
        <v>63.15</v>
      </c>
      <c r="I35" s="260">
        <v>2020.8</v>
      </c>
      <c r="J35" s="37" t="s">
        <v>21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61">
        <v>46019.0</v>
      </c>
      <c r="B36" s="262" t="s">
        <v>27</v>
      </c>
      <c r="C36" s="173"/>
      <c r="D36" s="186" t="s">
        <v>28</v>
      </c>
      <c r="E36" s="172"/>
      <c r="F36" s="172"/>
      <c r="G36" s="173"/>
      <c r="H36" s="58">
        <v>21.4</v>
      </c>
      <c r="I36" s="263">
        <v>684.8</v>
      </c>
      <c r="J36" s="55" t="s">
        <v>26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61">
        <v>46020.0</v>
      </c>
      <c r="B37" s="262" t="s">
        <v>27</v>
      </c>
      <c r="C37" s="173"/>
      <c r="D37" s="186" t="s">
        <v>34</v>
      </c>
      <c r="E37" s="172"/>
      <c r="F37" s="172"/>
      <c r="G37" s="173"/>
      <c r="H37" s="58">
        <v>20.11</v>
      </c>
      <c r="I37" s="263">
        <v>643.52</v>
      </c>
      <c r="J37" s="55" t="s">
        <v>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54" t="s">
        <v>127</v>
      </c>
      <c r="B38" s="167"/>
      <c r="C38" s="167"/>
      <c r="D38" s="167"/>
      <c r="E38" s="167"/>
      <c r="F38" s="167"/>
      <c r="G38" s="167"/>
      <c r="H38" s="167"/>
      <c r="I38" s="167"/>
      <c r="J38" s="16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64">
        <v>46028.0</v>
      </c>
      <c r="B39" s="265" t="s">
        <v>37</v>
      </c>
      <c r="C39" s="173"/>
      <c r="D39" s="191" t="s">
        <v>38</v>
      </c>
      <c r="E39" s="172"/>
      <c r="F39" s="172"/>
      <c r="G39" s="173"/>
      <c r="H39" s="77">
        <v>40.76</v>
      </c>
      <c r="I39" s="266">
        <v>1304.32</v>
      </c>
      <c r="J39" s="74" t="s">
        <v>39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58">
        <v>46029.0</v>
      </c>
      <c r="B40" s="259" t="s">
        <v>22</v>
      </c>
      <c r="C40" s="173"/>
      <c r="D40" s="211" t="s">
        <v>40</v>
      </c>
      <c r="E40" s="172"/>
      <c r="F40" s="172"/>
      <c r="G40" s="173"/>
      <c r="H40" s="40">
        <v>24.61</v>
      </c>
      <c r="I40" s="260">
        <v>787.52</v>
      </c>
      <c r="J40" s="37" t="s">
        <v>21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61">
        <v>46030.0</v>
      </c>
      <c r="B41" s="262" t="s">
        <v>27</v>
      </c>
      <c r="C41" s="173"/>
      <c r="D41" s="186" t="s">
        <v>34</v>
      </c>
      <c r="E41" s="172"/>
      <c r="F41" s="172"/>
      <c r="G41" s="173"/>
      <c r="H41" s="58">
        <v>22.69</v>
      </c>
      <c r="I41" s="263">
        <v>726.08</v>
      </c>
      <c r="J41" s="55" t="s">
        <v>26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61">
        <v>46031.0</v>
      </c>
      <c r="B42" s="262" t="s">
        <v>27</v>
      </c>
      <c r="C42" s="173"/>
      <c r="D42" s="186" t="s">
        <v>34</v>
      </c>
      <c r="E42" s="172"/>
      <c r="F42" s="172"/>
      <c r="G42" s="173"/>
      <c r="H42" s="58">
        <v>43.19</v>
      </c>
      <c r="I42" s="263">
        <v>1382.08</v>
      </c>
      <c r="J42" s="55" t="s">
        <v>26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67">
        <v>46044.0</v>
      </c>
      <c r="B43" s="268" t="s">
        <v>41</v>
      </c>
      <c r="C43" s="173"/>
      <c r="D43" s="196" t="s">
        <v>42</v>
      </c>
      <c r="E43" s="172"/>
      <c r="F43" s="172"/>
      <c r="G43" s="173"/>
      <c r="H43" s="89">
        <v>60.0</v>
      </c>
      <c r="I43" s="269">
        <v>1920.0</v>
      </c>
      <c r="J43" s="86" t="s">
        <v>39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67">
        <v>46048.0</v>
      </c>
      <c r="B44" s="268" t="s">
        <v>41</v>
      </c>
      <c r="C44" s="173"/>
      <c r="D44" s="196" t="s">
        <v>43</v>
      </c>
      <c r="E44" s="172"/>
      <c r="F44" s="172"/>
      <c r="G44" s="173"/>
      <c r="H44" s="89">
        <v>65.0</v>
      </c>
      <c r="I44" s="269">
        <v>2080.0</v>
      </c>
      <c r="J44" s="86" t="s">
        <v>39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61">
        <v>46050.0</v>
      </c>
      <c r="B45" s="262" t="s">
        <v>27</v>
      </c>
      <c r="C45" s="173"/>
      <c r="D45" s="186" t="s">
        <v>28</v>
      </c>
      <c r="E45" s="172"/>
      <c r="F45" s="172"/>
      <c r="G45" s="173"/>
      <c r="H45" s="58">
        <v>21.4</v>
      </c>
      <c r="I45" s="263">
        <v>684.8</v>
      </c>
      <c r="J45" s="55" t="s">
        <v>26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70">
        <v>46050.0</v>
      </c>
      <c r="B46" s="271" t="s">
        <v>44</v>
      </c>
      <c r="C46" s="173"/>
      <c r="D46" s="201" t="s">
        <v>45</v>
      </c>
      <c r="E46" s="172"/>
      <c r="F46" s="172"/>
      <c r="G46" s="173"/>
      <c r="H46" s="98">
        <v>5.0</v>
      </c>
      <c r="I46" s="272">
        <v>160.0</v>
      </c>
      <c r="J46" s="95" t="s">
        <v>39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61">
        <v>46051.0</v>
      </c>
      <c r="B47" s="262" t="s">
        <v>27</v>
      </c>
      <c r="C47" s="173"/>
      <c r="D47" s="186" t="s">
        <v>46</v>
      </c>
      <c r="E47" s="172"/>
      <c r="F47" s="172"/>
      <c r="G47" s="173"/>
      <c r="H47" s="58">
        <v>39.69</v>
      </c>
      <c r="I47" s="263">
        <v>1270.08</v>
      </c>
      <c r="J47" s="55" t="s">
        <v>26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54" t="s">
        <v>128</v>
      </c>
      <c r="B48" s="167"/>
      <c r="C48" s="167"/>
      <c r="D48" s="167"/>
      <c r="E48" s="167"/>
      <c r="F48" s="167"/>
      <c r="G48" s="167"/>
      <c r="H48" s="167"/>
      <c r="I48" s="167"/>
      <c r="J48" s="16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64">
        <v>46066.0</v>
      </c>
      <c r="B49" s="265" t="s">
        <v>37</v>
      </c>
      <c r="C49" s="173"/>
      <c r="D49" s="191" t="s">
        <v>38</v>
      </c>
      <c r="E49" s="172"/>
      <c r="F49" s="172"/>
      <c r="G49" s="173"/>
      <c r="H49" s="77">
        <v>54.5</v>
      </c>
      <c r="I49" s="266">
        <v>1744.0</v>
      </c>
      <c r="J49" s="74" t="s">
        <v>39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67">
        <v>46078.0</v>
      </c>
      <c r="B50" s="268" t="s">
        <v>41</v>
      </c>
      <c r="C50" s="173"/>
      <c r="D50" s="196" t="s">
        <v>49</v>
      </c>
      <c r="E50" s="172"/>
      <c r="F50" s="172"/>
      <c r="G50" s="173"/>
      <c r="H50" s="89">
        <v>59.0</v>
      </c>
      <c r="I50" s="269">
        <v>1888.0</v>
      </c>
      <c r="J50" s="86" t="s">
        <v>39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67">
        <v>46079.0</v>
      </c>
      <c r="B51" s="268" t="s">
        <v>41</v>
      </c>
      <c r="C51" s="173"/>
      <c r="D51" s="196" t="s">
        <v>43</v>
      </c>
      <c r="E51" s="172"/>
      <c r="F51" s="172"/>
      <c r="G51" s="173"/>
      <c r="H51" s="89">
        <v>65.0</v>
      </c>
      <c r="I51" s="269">
        <v>2080.0</v>
      </c>
      <c r="J51" s="86" t="s">
        <v>39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61">
        <v>46081.0</v>
      </c>
      <c r="B52" s="262" t="s">
        <v>27</v>
      </c>
      <c r="C52" s="173"/>
      <c r="D52" s="186" t="s">
        <v>34</v>
      </c>
      <c r="E52" s="172"/>
      <c r="F52" s="172"/>
      <c r="G52" s="173"/>
      <c r="H52" s="58">
        <v>21.4</v>
      </c>
      <c r="I52" s="263">
        <v>684.8</v>
      </c>
      <c r="J52" s="55" t="s">
        <v>26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70">
        <v>46081.0</v>
      </c>
      <c r="B53" s="271" t="s">
        <v>44</v>
      </c>
      <c r="C53" s="173"/>
      <c r="D53" s="201" t="s">
        <v>45</v>
      </c>
      <c r="E53" s="172"/>
      <c r="F53" s="172"/>
      <c r="G53" s="173"/>
      <c r="H53" s="98">
        <v>5.0</v>
      </c>
      <c r="I53" s="272">
        <v>160.0</v>
      </c>
      <c r="J53" s="95" t="s">
        <v>39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54" t="s">
        <v>129</v>
      </c>
      <c r="B54" s="167"/>
      <c r="C54" s="167"/>
      <c r="D54" s="167"/>
      <c r="E54" s="167"/>
      <c r="F54" s="167"/>
      <c r="G54" s="167"/>
      <c r="H54" s="167"/>
      <c r="I54" s="167"/>
      <c r="J54" s="16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64">
        <v>46092.0</v>
      </c>
      <c r="B55" s="265" t="s">
        <v>37</v>
      </c>
      <c r="C55" s="173"/>
      <c r="D55" s="191" t="s">
        <v>38</v>
      </c>
      <c r="E55" s="172"/>
      <c r="F55" s="172"/>
      <c r="G55" s="173"/>
      <c r="H55" s="77">
        <v>54.5</v>
      </c>
      <c r="I55" s="266">
        <v>1744.0</v>
      </c>
      <c r="J55" s="74" t="s">
        <v>39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73">
        <v>46092.0</v>
      </c>
      <c r="B56" s="274" t="s">
        <v>53</v>
      </c>
      <c r="C56" s="173"/>
      <c r="D56" s="206" t="s">
        <v>54</v>
      </c>
      <c r="E56" s="172"/>
      <c r="F56" s="172"/>
      <c r="G56" s="173"/>
      <c r="H56" s="107">
        <v>57.41</v>
      </c>
      <c r="I56" s="275">
        <v>1837.12</v>
      </c>
      <c r="J56" s="104" t="s">
        <v>21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73">
        <v>46092.0</v>
      </c>
      <c r="B57" s="274" t="s">
        <v>53</v>
      </c>
      <c r="C57" s="173"/>
      <c r="D57" s="206" t="s">
        <v>55</v>
      </c>
      <c r="E57" s="172"/>
      <c r="F57" s="172"/>
      <c r="G57" s="173"/>
      <c r="H57" s="107">
        <v>59.67</v>
      </c>
      <c r="I57" s="275">
        <v>1909.44</v>
      </c>
      <c r="J57" s="104" t="s">
        <v>21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73">
        <v>46092.0</v>
      </c>
      <c r="B58" s="274" t="s">
        <v>53</v>
      </c>
      <c r="C58" s="173"/>
      <c r="D58" s="206" t="s">
        <v>56</v>
      </c>
      <c r="E58" s="172"/>
      <c r="F58" s="172"/>
      <c r="G58" s="173"/>
      <c r="H58" s="107">
        <v>15.25</v>
      </c>
      <c r="I58" s="275">
        <v>488.0</v>
      </c>
      <c r="J58" s="104" t="s">
        <v>21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67">
        <v>46099.0</v>
      </c>
      <c r="B59" s="268" t="s">
        <v>41</v>
      </c>
      <c r="C59" s="173"/>
      <c r="D59" s="196" t="s">
        <v>57</v>
      </c>
      <c r="E59" s="172"/>
      <c r="F59" s="172"/>
      <c r="G59" s="173"/>
      <c r="H59" s="89">
        <v>8.86</v>
      </c>
      <c r="I59" s="269">
        <v>283.52</v>
      </c>
      <c r="J59" s="86" t="s">
        <v>39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67">
        <v>46099.0</v>
      </c>
      <c r="B60" s="268" t="s">
        <v>41</v>
      </c>
      <c r="C60" s="173"/>
      <c r="D60" s="196" t="s">
        <v>57</v>
      </c>
      <c r="E60" s="172"/>
      <c r="F60" s="172"/>
      <c r="G60" s="173"/>
      <c r="H60" s="89">
        <v>8.86</v>
      </c>
      <c r="I60" s="269">
        <v>283.52</v>
      </c>
      <c r="J60" s="86" t="s">
        <v>39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61">
        <v>46099.0</v>
      </c>
      <c r="B61" s="262" t="s">
        <v>27</v>
      </c>
      <c r="C61" s="173"/>
      <c r="D61" s="186" t="s">
        <v>28</v>
      </c>
      <c r="E61" s="172"/>
      <c r="F61" s="172"/>
      <c r="G61" s="173"/>
      <c r="H61" s="58">
        <v>66.8</v>
      </c>
      <c r="I61" s="263">
        <v>2137.6</v>
      </c>
      <c r="J61" s="55" t="s">
        <v>26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67">
        <v>46104.0</v>
      </c>
      <c r="B62" s="268" t="s">
        <v>41</v>
      </c>
      <c r="C62" s="173"/>
      <c r="D62" s="196" t="s">
        <v>57</v>
      </c>
      <c r="E62" s="172"/>
      <c r="F62" s="172"/>
      <c r="G62" s="173"/>
      <c r="H62" s="89">
        <v>177.0</v>
      </c>
      <c r="I62" s="269">
        <v>5664.0</v>
      </c>
      <c r="J62" s="86" t="s">
        <v>39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67">
        <v>46104.0</v>
      </c>
      <c r="B63" s="268" t="s">
        <v>41</v>
      </c>
      <c r="C63" s="173"/>
      <c r="D63" s="196" t="s">
        <v>57</v>
      </c>
      <c r="E63" s="172"/>
      <c r="F63" s="172"/>
      <c r="G63" s="173"/>
      <c r="H63" s="89">
        <v>5.0</v>
      </c>
      <c r="I63" s="269">
        <v>160.0</v>
      </c>
      <c r="J63" s="86" t="s">
        <v>39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67">
        <v>46112.0</v>
      </c>
      <c r="B64" s="268" t="s">
        <v>41</v>
      </c>
      <c r="C64" s="173"/>
      <c r="D64" s="196" t="s">
        <v>43</v>
      </c>
      <c r="E64" s="172"/>
      <c r="F64" s="172"/>
      <c r="G64" s="173"/>
      <c r="H64" s="89">
        <v>65.0</v>
      </c>
      <c r="I64" s="269">
        <v>2080.0</v>
      </c>
      <c r="J64" s="86" t="s">
        <v>39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54" t="s">
        <v>130</v>
      </c>
      <c r="B65" s="167"/>
      <c r="C65" s="167"/>
      <c r="D65" s="167"/>
      <c r="E65" s="167"/>
      <c r="F65" s="167"/>
      <c r="G65" s="167"/>
      <c r="H65" s="167"/>
      <c r="I65" s="167"/>
      <c r="J65" s="1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76">
        <v>46114.0</v>
      </c>
      <c r="B66" s="277" t="s">
        <v>61</v>
      </c>
      <c r="C66" s="173"/>
      <c r="D66" s="216" t="s">
        <v>62</v>
      </c>
      <c r="E66" s="172"/>
      <c r="F66" s="172"/>
      <c r="G66" s="173"/>
      <c r="H66" s="116">
        <v>27.26</v>
      </c>
      <c r="I66" s="278">
        <v>872.32</v>
      </c>
      <c r="J66" s="113" t="s">
        <v>26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67">
        <v>46116.0</v>
      </c>
      <c r="B67" s="268" t="s">
        <v>41</v>
      </c>
      <c r="C67" s="173"/>
      <c r="D67" s="196" t="s">
        <v>63</v>
      </c>
      <c r="E67" s="172"/>
      <c r="F67" s="172"/>
      <c r="G67" s="173"/>
      <c r="H67" s="89">
        <v>34.39</v>
      </c>
      <c r="I67" s="269">
        <v>1100.48</v>
      </c>
      <c r="J67" s="86" t="s">
        <v>39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64">
        <v>46119.0</v>
      </c>
      <c r="B68" s="265" t="s">
        <v>37</v>
      </c>
      <c r="C68" s="173"/>
      <c r="D68" s="191" t="s">
        <v>38</v>
      </c>
      <c r="E68" s="172"/>
      <c r="F68" s="172"/>
      <c r="G68" s="173"/>
      <c r="H68" s="77">
        <v>54.5</v>
      </c>
      <c r="I68" s="266">
        <v>1744.0</v>
      </c>
      <c r="J68" s="74" t="s">
        <v>39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67">
        <v>46134.0</v>
      </c>
      <c r="B69" s="268" t="s">
        <v>41</v>
      </c>
      <c r="C69" s="173"/>
      <c r="D69" s="196" t="s">
        <v>57</v>
      </c>
      <c r="E69" s="172"/>
      <c r="F69" s="172"/>
      <c r="G69" s="173"/>
      <c r="H69" s="89">
        <v>177.0</v>
      </c>
      <c r="I69" s="269">
        <v>5664.0</v>
      </c>
      <c r="J69" s="86" t="s">
        <v>39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67">
        <v>46139.0</v>
      </c>
      <c r="B70" s="268" t="s">
        <v>41</v>
      </c>
      <c r="C70" s="173"/>
      <c r="D70" s="196" t="s">
        <v>43</v>
      </c>
      <c r="E70" s="172"/>
      <c r="F70" s="172"/>
      <c r="G70" s="173"/>
      <c r="H70" s="89">
        <v>65.0</v>
      </c>
      <c r="I70" s="269">
        <v>2080.0</v>
      </c>
      <c r="J70" s="86" t="s">
        <v>39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76">
        <v>46139.0</v>
      </c>
      <c r="B71" s="277" t="s">
        <v>61</v>
      </c>
      <c r="C71" s="173"/>
      <c r="D71" s="216" t="s">
        <v>64</v>
      </c>
      <c r="E71" s="172"/>
      <c r="F71" s="172"/>
      <c r="G71" s="173"/>
      <c r="H71" s="116">
        <v>14.8</v>
      </c>
      <c r="I71" s="278">
        <v>473.6</v>
      </c>
      <c r="J71" s="113" t="s">
        <v>26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76">
        <v>46139.0</v>
      </c>
      <c r="B72" s="277" t="s">
        <v>61</v>
      </c>
      <c r="C72" s="173"/>
      <c r="D72" s="216" t="s">
        <v>62</v>
      </c>
      <c r="E72" s="172"/>
      <c r="F72" s="172"/>
      <c r="G72" s="173"/>
      <c r="H72" s="116">
        <v>73.98</v>
      </c>
      <c r="I72" s="278">
        <v>2367.36</v>
      </c>
      <c r="J72" s="113" t="s">
        <v>26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79">
        <v>46139.0</v>
      </c>
      <c r="B73" s="280" t="s">
        <v>65</v>
      </c>
      <c r="C73" s="173"/>
      <c r="D73" s="227" t="s">
        <v>65</v>
      </c>
      <c r="E73" s="172"/>
      <c r="F73" s="172"/>
      <c r="G73" s="173"/>
      <c r="H73" s="125">
        <v>24.5</v>
      </c>
      <c r="I73" s="281">
        <v>784.0</v>
      </c>
      <c r="J73" s="122" t="s">
        <v>26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70">
        <v>46140.0</v>
      </c>
      <c r="B74" s="271" t="s">
        <v>44</v>
      </c>
      <c r="C74" s="173"/>
      <c r="D74" s="201" t="s">
        <v>45</v>
      </c>
      <c r="E74" s="172"/>
      <c r="F74" s="172"/>
      <c r="G74" s="173"/>
      <c r="H74" s="98">
        <v>5.0</v>
      </c>
      <c r="I74" s="272">
        <v>160.0</v>
      </c>
      <c r="J74" s="95" t="s">
        <v>39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54" t="s">
        <v>131</v>
      </c>
      <c r="B75" s="167"/>
      <c r="C75" s="167"/>
      <c r="D75" s="167"/>
      <c r="E75" s="167"/>
      <c r="F75" s="167"/>
      <c r="G75" s="167"/>
      <c r="H75" s="167"/>
      <c r="I75" s="167"/>
      <c r="J75" s="16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64">
        <v>46143.0</v>
      </c>
      <c r="B76" s="265" t="s">
        <v>37</v>
      </c>
      <c r="C76" s="173"/>
      <c r="D76" s="191" t="s">
        <v>38</v>
      </c>
      <c r="E76" s="172"/>
      <c r="F76" s="172"/>
      <c r="G76" s="173"/>
      <c r="H76" s="77">
        <v>54.5</v>
      </c>
      <c r="I76" s="266">
        <v>1744.0</v>
      </c>
      <c r="J76" s="74" t="s">
        <v>39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76">
        <v>46144.0</v>
      </c>
      <c r="B77" s="277" t="s">
        <v>61</v>
      </c>
      <c r="C77" s="173"/>
      <c r="D77" s="216" t="s">
        <v>62</v>
      </c>
      <c r="E77" s="172"/>
      <c r="F77" s="172"/>
      <c r="G77" s="173"/>
      <c r="H77" s="116">
        <v>16.81</v>
      </c>
      <c r="I77" s="278">
        <v>537.92</v>
      </c>
      <c r="J77" s="113" t="s">
        <v>26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58">
        <v>46156.0</v>
      </c>
      <c r="B78" s="259" t="s">
        <v>22</v>
      </c>
      <c r="C78" s="173"/>
      <c r="D78" s="211" t="s">
        <v>68</v>
      </c>
      <c r="E78" s="172"/>
      <c r="F78" s="172"/>
      <c r="G78" s="173"/>
      <c r="H78" s="40">
        <v>40.6</v>
      </c>
      <c r="I78" s="260">
        <v>1299.2</v>
      </c>
      <c r="J78" s="37" t="s">
        <v>21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82">
        <v>46157.0</v>
      </c>
      <c r="B79" s="283" t="s">
        <v>72</v>
      </c>
      <c r="C79" s="173"/>
      <c r="D79" s="221" t="s">
        <v>73</v>
      </c>
      <c r="E79" s="172"/>
      <c r="F79" s="172"/>
      <c r="G79" s="173"/>
      <c r="H79" s="134">
        <v>33.3</v>
      </c>
      <c r="I79" s="284">
        <v>1065.6</v>
      </c>
      <c r="J79" s="131" t="s">
        <v>21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58">
        <v>46160.0</v>
      </c>
      <c r="B80" s="259" t="s">
        <v>22</v>
      </c>
      <c r="C80" s="173"/>
      <c r="D80" s="211" t="s">
        <v>74</v>
      </c>
      <c r="E80" s="172"/>
      <c r="F80" s="172"/>
      <c r="G80" s="173"/>
      <c r="H80" s="40">
        <v>28.94</v>
      </c>
      <c r="I80" s="260">
        <v>926.08</v>
      </c>
      <c r="J80" s="37" t="s">
        <v>21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58">
        <v>46161.0</v>
      </c>
      <c r="B81" s="259" t="s">
        <v>22</v>
      </c>
      <c r="C81" s="173"/>
      <c r="D81" s="211" t="s">
        <v>75</v>
      </c>
      <c r="E81" s="172"/>
      <c r="F81" s="172"/>
      <c r="G81" s="173"/>
      <c r="H81" s="40">
        <v>43.81</v>
      </c>
      <c r="I81" s="260">
        <v>1401.92</v>
      </c>
      <c r="J81" s="37" t="s">
        <v>21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36">
    <mergeCell ref="A1:J1"/>
    <mergeCell ref="A2:J2"/>
    <mergeCell ref="A4:J4"/>
    <mergeCell ref="D5:G5"/>
    <mergeCell ref="D6:G6"/>
    <mergeCell ref="D7:G7"/>
    <mergeCell ref="D8:G8"/>
    <mergeCell ref="D9:G9"/>
    <mergeCell ref="A11:J11"/>
    <mergeCell ref="A12:B12"/>
    <mergeCell ref="C12:D12"/>
    <mergeCell ref="A13:B13"/>
    <mergeCell ref="C13:D13"/>
    <mergeCell ref="C14:D14"/>
    <mergeCell ref="A14:B14"/>
    <mergeCell ref="A15:B15"/>
    <mergeCell ref="C15:D15"/>
    <mergeCell ref="A16:B16"/>
    <mergeCell ref="C16:D16"/>
    <mergeCell ref="A17:B17"/>
    <mergeCell ref="C17:D17"/>
    <mergeCell ref="A21:B21"/>
    <mergeCell ref="A22:B22"/>
    <mergeCell ref="A23:B23"/>
    <mergeCell ref="A18:B18"/>
    <mergeCell ref="C18:D18"/>
    <mergeCell ref="A19:B19"/>
    <mergeCell ref="C19:D19"/>
    <mergeCell ref="A20:B20"/>
    <mergeCell ref="C20:D20"/>
    <mergeCell ref="C21:D21"/>
    <mergeCell ref="C22:D22"/>
    <mergeCell ref="C23:D23"/>
    <mergeCell ref="A24:F24"/>
    <mergeCell ref="A25:F25"/>
    <mergeCell ref="A26:F26"/>
    <mergeCell ref="A28:J28"/>
    <mergeCell ref="B29:C29"/>
    <mergeCell ref="D29:G29"/>
    <mergeCell ref="A30:J30"/>
    <mergeCell ref="B31:C31"/>
    <mergeCell ref="D31:G31"/>
    <mergeCell ref="B32:C32"/>
    <mergeCell ref="D32:G32"/>
    <mergeCell ref="B33:C33"/>
    <mergeCell ref="D61:G61"/>
    <mergeCell ref="D62:G62"/>
    <mergeCell ref="B63:C63"/>
    <mergeCell ref="D63:G63"/>
    <mergeCell ref="B64:C64"/>
    <mergeCell ref="D64:G64"/>
    <mergeCell ref="B57:C57"/>
    <mergeCell ref="D57:G57"/>
    <mergeCell ref="B58:C58"/>
    <mergeCell ref="D58:G58"/>
    <mergeCell ref="B59:C59"/>
    <mergeCell ref="D59:G59"/>
    <mergeCell ref="D60:G60"/>
    <mergeCell ref="B67:C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B78:C78"/>
    <mergeCell ref="B79:C79"/>
    <mergeCell ref="D79:G79"/>
    <mergeCell ref="B80:C80"/>
    <mergeCell ref="D80:G80"/>
    <mergeCell ref="B81:C81"/>
    <mergeCell ref="D81:G81"/>
    <mergeCell ref="D74:G74"/>
    <mergeCell ref="A75:J75"/>
    <mergeCell ref="B76:C76"/>
    <mergeCell ref="D76:G76"/>
    <mergeCell ref="B77:C77"/>
    <mergeCell ref="D77:G77"/>
    <mergeCell ref="D78:G78"/>
    <mergeCell ref="D33:G33"/>
    <mergeCell ref="A34:J34"/>
    <mergeCell ref="B35:C35"/>
    <mergeCell ref="D35:G35"/>
    <mergeCell ref="B36:C36"/>
    <mergeCell ref="D36:G36"/>
    <mergeCell ref="B37:C37"/>
    <mergeCell ref="D37:G37"/>
    <mergeCell ref="A38:J38"/>
    <mergeCell ref="B39:C39"/>
    <mergeCell ref="D39:G39"/>
    <mergeCell ref="B40:C40"/>
    <mergeCell ref="D40:G40"/>
    <mergeCell ref="D41:G41"/>
    <mergeCell ref="B41:C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A48:J48"/>
    <mergeCell ref="B49:C49"/>
    <mergeCell ref="D49:G49"/>
    <mergeCell ref="B50:C50"/>
    <mergeCell ref="D50:G50"/>
    <mergeCell ref="B51:C51"/>
    <mergeCell ref="D51:G51"/>
    <mergeCell ref="D52:G52"/>
    <mergeCell ref="D53:G53"/>
    <mergeCell ref="B52:C52"/>
    <mergeCell ref="B53:C53"/>
    <mergeCell ref="A54:J54"/>
    <mergeCell ref="B55:C55"/>
    <mergeCell ref="D55:G55"/>
    <mergeCell ref="B56:C56"/>
    <mergeCell ref="D56:G56"/>
    <mergeCell ref="B60:C60"/>
    <mergeCell ref="B61:C61"/>
    <mergeCell ref="B62:C62"/>
    <mergeCell ref="A65:J65"/>
    <mergeCell ref="B66:C66"/>
    <mergeCell ref="D66:G66"/>
    <mergeCell ref="D67:G6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10.0"/>
    <col customWidth="1" min="4" max="10" width="12.0"/>
    <col customWidth="1" min="11" max="11" width="13.0"/>
  </cols>
  <sheetData>
    <row r="1" ht="24.0" customHeight="1">
      <c r="A1" s="285" t="s">
        <v>132</v>
      </c>
      <c r="B1" s="167"/>
      <c r="C1" s="167"/>
      <c r="D1" s="167"/>
      <c r="E1" s="167"/>
      <c r="F1" s="167"/>
      <c r="G1" s="167"/>
      <c r="H1" s="167"/>
      <c r="I1" s="167"/>
      <c r="J1" s="16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69" t="s">
        <v>133</v>
      </c>
      <c r="B2" s="167"/>
      <c r="C2" s="167"/>
      <c r="D2" s="167"/>
      <c r="E2" s="167"/>
      <c r="F2" s="167"/>
      <c r="G2" s="167"/>
      <c r="H2" s="167"/>
      <c r="I2" s="167"/>
      <c r="J2" s="16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83" t="s">
        <v>5</v>
      </c>
      <c r="B4" s="286" t="s">
        <v>102</v>
      </c>
      <c r="C4" s="183" t="s">
        <v>7</v>
      </c>
      <c r="D4" s="183" t="s">
        <v>134</v>
      </c>
      <c r="E4" s="183" t="s">
        <v>135</v>
      </c>
      <c r="F4" s="183" t="s">
        <v>136</v>
      </c>
      <c r="G4" s="183" t="s">
        <v>137</v>
      </c>
      <c r="H4" s="183" t="s">
        <v>138</v>
      </c>
      <c r="I4" s="183" t="s">
        <v>139</v>
      </c>
      <c r="J4" s="183" t="s">
        <v>140</v>
      </c>
      <c r="K4" s="9" t="s">
        <v>99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87" t="s">
        <v>27</v>
      </c>
      <c r="B5" s="54" t="s">
        <v>107</v>
      </c>
      <c r="C5" s="55" t="s">
        <v>26</v>
      </c>
      <c r="D5" s="58">
        <v>21.4</v>
      </c>
      <c r="E5" s="58">
        <v>41.51</v>
      </c>
      <c r="F5" s="58">
        <v>126.97</v>
      </c>
      <c r="G5" s="58">
        <v>21.4</v>
      </c>
      <c r="H5" s="58">
        <v>66.8</v>
      </c>
      <c r="I5" s="288"/>
      <c r="J5" s="288"/>
      <c r="K5" s="289">
        <v>278.08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90" t="s">
        <v>37</v>
      </c>
      <c r="B6" s="73" t="s">
        <v>108</v>
      </c>
      <c r="C6" s="74" t="s">
        <v>39</v>
      </c>
      <c r="D6" s="288"/>
      <c r="E6" s="288"/>
      <c r="F6" s="77">
        <v>40.76</v>
      </c>
      <c r="G6" s="77">
        <v>54.5</v>
      </c>
      <c r="H6" s="77">
        <v>54.5</v>
      </c>
      <c r="I6" s="77">
        <v>54.5</v>
      </c>
      <c r="J6" s="77">
        <v>54.5</v>
      </c>
      <c r="K6" s="289">
        <v>258.76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91" t="s">
        <v>41</v>
      </c>
      <c r="B7" s="85" t="s">
        <v>109</v>
      </c>
      <c r="C7" s="86" t="s">
        <v>39</v>
      </c>
      <c r="D7" s="288"/>
      <c r="E7" s="288"/>
      <c r="F7" s="89">
        <v>125.0</v>
      </c>
      <c r="G7" s="89">
        <v>124.0</v>
      </c>
      <c r="H7" s="89">
        <v>264.72</v>
      </c>
      <c r="I7" s="89">
        <v>276.39</v>
      </c>
      <c r="J7" s="288"/>
      <c r="K7" s="289">
        <v>790.11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92" t="s">
        <v>44</v>
      </c>
      <c r="B8" s="94" t="s">
        <v>110</v>
      </c>
      <c r="C8" s="95" t="s">
        <v>39</v>
      </c>
      <c r="D8" s="288"/>
      <c r="E8" s="288"/>
      <c r="F8" s="98">
        <v>5.0</v>
      </c>
      <c r="G8" s="98">
        <v>5.0</v>
      </c>
      <c r="H8" s="288"/>
      <c r="I8" s="98">
        <v>5.0</v>
      </c>
      <c r="J8" s="288"/>
      <c r="K8" s="289">
        <v>15.0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93" t="s">
        <v>53</v>
      </c>
      <c r="B9" s="103" t="s">
        <v>111</v>
      </c>
      <c r="C9" s="104" t="s">
        <v>21</v>
      </c>
      <c r="D9" s="288"/>
      <c r="E9" s="288"/>
      <c r="F9" s="288"/>
      <c r="G9" s="288"/>
      <c r="H9" s="107">
        <v>132.33</v>
      </c>
      <c r="I9" s="288"/>
      <c r="J9" s="288"/>
      <c r="K9" s="289">
        <v>132.33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94" t="s">
        <v>22</v>
      </c>
      <c r="B10" s="36" t="s">
        <v>112</v>
      </c>
      <c r="C10" s="37" t="s">
        <v>21</v>
      </c>
      <c r="D10" s="40">
        <v>795.04</v>
      </c>
      <c r="E10" s="40">
        <v>63.15</v>
      </c>
      <c r="F10" s="40">
        <v>24.61</v>
      </c>
      <c r="G10" s="288"/>
      <c r="H10" s="288"/>
      <c r="I10" s="288"/>
      <c r="J10" s="40">
        <v>113.35</v>
      </c>
      <c r="K10" s="289">
        <v>996.15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95" t="s">
        <v>61</v>
      </c>
      <c r="B11" s="112" t="s">
        <v>113</v>
      </c>
      <c r="C11" s="113" t="s">
        <v>26</v>
      </c>
      <c r="D11" s="288"/>
      <c r="E11" s="288"/>
      <c r="F11" s="288"/>
      <c r="G11" s="288"/>
      <c r="H11" s="288"/>
      <c r="I11" s="116">
        <v>116.04</v>
      </c>
      <c r="J11" s="116">
        <v>16.81</v>
      </c>
      <c r="K11" s="289">
        <v>132.85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96" t="s">
        <v>72</v>
      </c>
      <c r="B12" s="130" t="s">
        <v>114</v>
      </c>
      <c r="C12" s="131" t="s">
        <v>21</v>
      </c>
      <c r="D12" s="288"/>
      <c r="E12" s="288"/>
      <c r="F12" s="288"/>
      <c r="G12" s="288"/>
      <c r="H12" s="288"/>
      <c r="I12" s="288"/>
      <c r="J12" s="134">
        <v>33.3</v>
      </c>
      <c r="K12" s="289">
        <v>33.3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97" t="s">
        <v>65</v>
      </c>
      <c r="B13" s="121" t="s">
        <v>115</v>
      </c>
      <c r="C13" s="122" t="s">
        <v>26</v>
      </c>
      <c r="D13" s="288"/>
      <c r="E13" s="288"/>
      <c r="F13" s="288"/>
      <c r="G13" s="288"/>
      <c r="H13" s="288"/>
      <c r="I13" s="125">
        <v>24.5</v>
      </c>
      <c r="J13" s="288"/>
      <c r="K13" s="289">
        <v>24.5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98" t="s">
        <v>20</v>
      </c>
      <c r="B14" s="26" t="s">
        <v>118</v>
      </c>
      <c r="C14" s="27" t="s">
        <v>21</v>
      </c>
      <c r="D14" s="30">
        <v>12.35</v>
      </c>
      <c r="E14" s="288"/>
      <c r="F14" s="288"/>
      <c r="G14" s="288"/>
      <c r="H14" s="288"/>
      <c r="I14" s="288"/>
      <c r="J14" s="288"/>
      <c r="K14" s="289">
        <v>12.35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76" t="s">
        <v>141</v>
      </c>
      <c r="B15" s="179"/>
      <c r="C15" s="181"/>
      <c r="D15" s="177">
        <v>828.79</v>
      </c>
      <c r="E15" s="177">
        <v>104.66</v>
      </c>
      <c r="F15" s="177">
        <v>322.34</v>
      </c>
      <c r="G15" s="177">
        <v>204.9</v>
      </c>
      <c r="H15" s="177">
        <v>518.35</v>
      </c>
      <c r="I15" s="177">
        <v>476.43</v>
      </c>
      <c r="J15" s="177">
        <v>217.96</v>
      </c>
      <c r="K15" s="245">
        <v>2673.43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99" t="s">
        <v>142</v>
      </c>
      <c r="B16" s="300" t="s">
        <v>143</v>
      </c>
      <c r="C16" s="173"/>
      <c r="D16" s="301">
        <v>26521.28</v>
      </c>
      <c r="E16" s="301">
        <v>3349.12</v>
      </c>
      <c r="F16" s="301">
        <v>10314.88</v>
      </c>
      <c r="G16" s="301">
        <v>6556.8</v>
      </c>
      <c r="H16" s="301">
        <v>16587.2</v>
      </c>
      <c r="I16" s="301">
        <v>15245.76</v>
      </c>
      <c r="J16" s="301">
        <v>6974.72</v>
      </c>
      <c r="K16" s="302">
        <v>85549.76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J1"/>
    <mergeCell ref="A2:J2"/>
    <mergeCell ref="B15:C15"/>
    <mergeCell ref="B16:C1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2.57"/>
    <col customWidth="1" min="2" max="2" width="8.0"/>
    <col customWidth="1" min="3" max="3" width="13.0"/>
    <col customWidth="1" min="4" max="4" width="14.0"/>
    <col customWidth="1" min="5" max="7" width="13.0"/>
    <col customWidth="1" min="8" max="8" width="10.0"/>
    <col customWidth="1" min="9" max="9" width="20.0"/>
  </cols>
  <sheetData>
    <row r="1" ht="25.5" customHeight="1">
      <c r="A1" s="285" t="s">
        <v>144</v>
      </c>
      <c r="B1" s="167"/>
      <c r="C1" s="167"/>
      <c r="D1" s="167"/>
      <c r="E1" s="167"/>
      <c r="F1" s="167"/>
      <c r="G1" s="167"/>
      <c r="H1" s="167"/>
      <c r="I1" s="16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69" t="s">
        <v>145</v>
      </c>
      <c r="B2" s="167"/>
      <c r="C2" s="167"/>
      <c r="D2" s="167"/>
      <c r="E2" s="167"/>
      <c r="F2" s="167"/>
      <c r="G2" s="167"/>
      <c r="H2" s="167"/>
      <c r="I2" s="16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70" t="s">
        <v>146</v>
      </c>
      <c r="B4" s="167"/>
      <c r="C4" s="167"/>
      <c r="D4" s="167"/>
      <c r="E4" s="167"/>
      <c r="F4" s="167"/>
      <c r="G4" s="167"/>
      <c r="H4" s="167"/>
      <c r="I4" s="16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83" t="s">
        <v>147</v>
      </c>
      <c r="B5" s="182" t="s">
        <v>148</v>
      </c>
      <c r="C5" s="173"/>
      <c r="D5" s="183" t="s">
        <v>149</v>
      </c>
      <c r="E5" s="184" t="s">
        <v>150</v>
      </c>
      <c r="F5" s="184" t="s">
        <v>151</v>
      </c>
      <c r="G5" s="182" t="s">
        <v>152</v>
      </c>
      <c r="H5" s="172"/>
      <c r="I5" s="17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03" t="s">
        <v>153</v>
      </c>
      <c r="B6" s="304" t="s">
        <v>154</v>
      </c>
      <c r="C6" s="173"/>
      <c r="D6" s="305" t="s">
        <v>155</v>
      </c>
      <c r="E6" s="306">
        <v>2145.0</v>
      </c>
      <c r="F6" s="16">
        <v>67.03</v>
      </c>
      <c r="G6" s="307" t="s">
        <v>156</v>
      </c>
      <c r="H6" s="172"/>
      <c r="I6" s="17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94" t="s">
        <v>157</v>
      </c>
      <c r="B7" s="308" t="s">
        <v>158</v>
      </c>
      <c r="C7" s="173"/>
      <c r="D7" s="309" t="s">
        <v>155</v>
      </c>
      <c r="E7" s="310" t="s">
        <v>159</v>
      </c>
      <c r="F7" s="311" t="s">
        <v>159</v>
      </c>
      <c r="G7" s="312" t="s">
        <v>160</v>
      </c>
      <c r="H7" s="172"/>
      <c r="I7" s="17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13" t="s">
        <v>161</v>
      </c>
      <c r="B8" s="314" t="s">
        <v>162</v>
      </c>
      <c r="C8" s="315"/>
      <c r="D8" s="316"/>
      <c r="E8" s="317">
        <v>2145.0</v>
      </c>
      <c r="F8" s="318">
        <v>67.03</v>
      </c>
      <c r="G8" s="319"/>
      <c r="H8" s="315"/>
      <c r="I8" s="31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70" t="s">
        <v>163</v>
      </c>
      <c r="B10" s="167"/>
      <c r="C10" s="167"/>
      <c r="D10" s="167"/>
      <c r="E10" s="167"/>
      <c r="F10" s="167"/>
      <c r="G10" s="167"/>
      <c r="H10" s="167"/>
      <c r="I10" s="16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183" t="s">
        <v>164</v>
      </c>
      <c r="B11" s="183" t="s">
        <v>165</v>
      </c>
      <c r="C11" s="183" t="s">
        <v>4</v>
      </c>
      <c r="D11" s="184" t="s">
        <v>166</v>
      </c>
      <c r="E11" s="184" t="s">
        <v>167</v>
      </c>
      <c r="F11" s="320" t="s">
        <v>168</v>
      </c>
      <c r="G11" s="320" t="s">
        <v>169</v>
      </c>
      <c r="H11" s="183" t="s">
        <v>170</v>
      </c>
      <c r="I11" s="286" t="s">
        <v>97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21">
        <v>2025.0</v>
      </c>
      <c r="B12" s="321">
        <v>5.0</v>
      </c>
      <c r="C12" s="322">
        <v>46148.0</v>
      </c>
      <c r="D12" s="323">
        <v>2145.0</v>
      </c>
      <c r="E12" s="324"/>
      <c r="F12" s="325">
        <v>2145.0</v>
      </c>
      <c r="G12" s="16">
        <v>67.03</v>
      </c>
      <c r="H12" s="326" t="s">
        <v>171</v>
      </c>
      <c r="I12" s="327" t="s">
        <v>172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21">
        <v>2025.0</v>
      </c>
      <c r="B13" s="321">
        <v>5.0</v>
      </c>
      <c r="C13" s="328">
        <v>46169.0</v>
      </c>
      <c r="D13" s="323">
        <v>1556.0</v>
      </c>
      <c r="E13" s="329"/>
      <c r="F13" s="330">
        <v>1556.0</v>
      </c>
      <c r="G13" s="16"/>
      <c r="H13" s="331"/>
      <c r="I13" s="33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33"/>
      <c r="B14" s="333"/>
      <c r="C14" s="333"/>
      <c r="D14" s="334"/>
      <c r="E14" s="334"/>
      <c r="F14" s="335"/>
      <c r="G14" s="335"/>
      <c r="H14" s="333"/>
      <c r="I14" s="33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31"/>
      <c r="B15" s="331"/>
      <c r="C15" s="331"/>
      <c r="D15" s="329"/>
      <c r="E15" s="329"/>
      <c r="F15" s="335"/>
      <c r="G15" s="335"/>
      <c r="H15" s="331"/>
      <c r="I15" s="3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33"/>
      <c r="B16" s="333"/>
      <c r="C16" s="333"/>
      <c r="D16" s="334"/>
      <c r="E16" s="334"/>
      <c r="F16" s="335"/>
      <c r="G16" s="335"/>
      <c r="H16" s="333"/>
      <c r="I16" s="33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31"/>
      <c r="B17" s="331"/>
      <c r="C17" s="331"/>
      <c r="D17" s="329"/>
      <c r="E17" s="329"/>
      <c r="F17" s="335"/>
      <c r="G17" s="335"/>
      <c r="H17" s="331"/>
      <c r="I17" s="3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33"/>
      <c r="B18" s="333"/>
      <c r="C18" s="333"/>
      <c r="D18" s="334"/>
      <c r="E18" s="334"/>
      <c r="F18" s="335"/>
      <c r="G18" s="335"/>
      <c r="H18" s="333"/>
      <c r="I18" s="33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37" t="s">
        <v>173</v>
      </c>
      <c r="B20" s="167"/>
      <c r="C20" s="167"/>
      <c r="D20" s="167"/>
      <c r="E20" s="167"/>
      <c r="F20" s="167"/>
      <c r="G20" s="167"/>
      <c r="H20" s="167"/>
      <c r="I20" s="16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G6:I6"/>
    <mergeCell ref="G7:I7"/>
    <mergeCell ref="B8:D8"/>
    <mergeCell ref="G8:I8"/>
    <mergeCell ref="A10:I10"/>
    <mergeCell ref="A20:I20"/>
    <mergeCell ref="A1:I1"/>
    <mergeCell ref="A2:I2"/>
    <mergeCell ref="A4:I4"/>
    <mergeCell ref="B5:C5"/>
    <mergeCell ref="G5:I5"/>
    <mergeCell ref="B6:C6"/>
    <mergeCell ref="B7:C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2026-05-24T05:20:00Z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87B1081936D2416F919B5AE06FD1A6C5_12</vt:lpwstr>
  </property>
  <property fmtid="{D5CDD505-2E9C-101B-9397-08002B2CF9AE}" pid="3" name="KSOProductBuildVer">
    <vt:lpwstr>3076-12.1.0.26372</vt:lpwstr>
  </property>
  <property fmtid="{D5CDD505-2E9C-101B-9397-08002B2CF9AE}" pid="4" name="CalculationRule">
    <vt:i4>0</vt:i4>
  </property>
</Properties>
</file>