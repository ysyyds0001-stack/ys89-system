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YS-錢包紀錄" sheetId="1" state="visible" r:id="rId1"/>
    <sheet name="業主報表" sheetId="2" state="visible" r:id="rId2"/>
    <sheet name="月度費用趨勢" sheetId="3" state="visible" r:id="rId3"/>
    <sheet name="YS台幣支付項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\-dd"/>
    <numFmt numFmtId="165" formatCode="yyyy\-mm\-dd"/>
    <numFmt numFmtId="166" formatCode="0.0%"/>
  </numFmts>
  <fonts count="46">
    <font>
      <name val="Calibri"/>
      <color theme="1"/>
      <sz val="11"/>
      <scheme val="minor"/>
    </font>
    <font>
      <name val="Arial"/>
      <b val="1"/>
      <color rgb="FFFFFFFF"/>
      <sz val="13"/>
    </font>
    <font>
      <name val="Calibri"/>
      <color theme="1"/>
      <sz val="11"/>
    </font>
    <font>
      <name val="Arial"/>
      <b val="1"/>
      <color rgb="FFFFFFFF"/>
      <sz val="9"/>
    </font>
    <font>
      <name val="Arial"/>
      <color rgb="FFFFFFFF"/>
      <sz val="9"/>
    </font>
    <font>
      <name val="Arial"/>
      <b val="1"/>
      <color rgb="FFFFD700"/>
      <sz val="11"/>
    </font>
    <font>
      <name val="Arial"/>
      <b val="1"/>
      <color rgb="FFFFD700"/>
      <sz val="10"/>
    </font>
    <font>
      <name val="Arial"/>
      <b val="1"/>
      <color rgb="FFFFFFFF"/>
      <sz val="10"/>
    </font>
    <font>
      <name val="Arial"/>
      <b val="1"/>
      <color rgb="FF1F3864"/>
      <sz val="9"/>
    </font>
    <font>
      <name val="Calibri"/>
      <color theme="1"/>
      <scheme val="minor"/>
    </font>
    <font>
      <name val="Arial"/>
      <color rgb="FF000000"/>
      <sz val="10"/>
    </font>
    <font>
      <name val="Arial"/>
      <color rgb="FF000000"/>
      <sz val="9"/>
    </font>
    <font>
      <name val="Arial"/>
      <color rgb="FF595959"/>
      <sz val="9"/>
    </font>
    <font>
      <name val="Arial"/>
      <b val="1"/>
      <color rgb="FF1E7145"/>
      <sz val="10"/>
    </font>
    <font>
      <name val="PMingLiu"/>
      <color theme="1"/>
      <sz val="11"/>
    </font>
    <font>
      <name val="Arial"/>
      <b val="1"/>
      <color rgb="FF000000"/>
      <sz val="10"/>
    </font>
    <font>
      <name val="Arial"/>
      <color rgb="FF1F3864"/>
      <sz val="10"/>
    </font>
    <font>
      <name val="Arial"/>
      <b val="1"/>
      <color rgb="FF2F5496"/>
      <sz val="10"/>
    </font>
    <font>
      <name val="Arial"/>
      <b val="1"/>
      <color rgb="FFC55A11"/>
      <sz val="10"/>
    </font>
    <font>
      <name val="Arial"/>
      <i val="1"/>
      <color rgb="FF000000"/>
      <sz val="9"/>
    </font>
    <font>
      <name val="Arial"/>
      <i val="1"/>
      <color rgb="FFC00000"/>
      <sz val="10"/>
    </font>
    <font>
      <name val="Arial"/>
      <color rgb="FFC00000"/>
      <sz val="10"/>
    </font>
    <font>
      <name val="Arial"/>
      <b val="1"/>
      <i val="1"/>
      <color rgb="FF2F5496"/>
      <sz val="9"/>
    </font>
    <font>
      <name val="Arial"/>
      <b val="1"/>
      <color rgb="FF1F3864"/>
      <sz val="10"/>
    </font>
    <font>
      <name val="Arial"/>
      <b val="1"/>
      <color rgb="FF595959"/>
      <sz val="9"/>
    </font>
    <font>
      <name val="Arial"/>
      <b val="1"/>
      <color rgb="FFC00000"/>
      <sz val="10"/>
    </font>
    <font>
      <name val="Arial"/>
      <b val="1"/>
      <color rgb="FFFFFFFF"/>
      <sz val="11"/>
    </font>
    <font>
      <name val="Arial"/>
      <i val="1"/>
      <color rgb="FF595959"/>
      <sz val="8"/>
    </font>
    <font>
      <name val="Calibri"/>
      <b val="1"/>
      <color theme="1"/>
      <sz val="11"/>
    </font>
    <font>
      <name val="Arial"/>
      <b val="1"/>
      <color rgb="FFFFFFFF"/>
      <sz val="15"/>
    </font>
    <font/>
    <font>
      <name val="Arial"/>
      <b val="1"/>
      <color theme="1"/>
    </font>
    <font>
      <name val="Arial"/>
      <b val="1"/>
      <color rgb="FF000000"/>
      <sz val="11"/>
    </font>
    <font>
      <name val="Arial"/>
      <b val="1"/>
      <color rgb="FFC00000"/>
      <sz val="11"/>
    </font>
    <font>
      <name val="Arial"/>
      <i val="1"/>
      <color rgb="FF595959"/>
      <sz val="9"/>
    </font>
    <font>
      <name val="Arial"/>
      <b val="1"/>
      <color rgb="FF000000"/>
      <sz val="9"/>
    </font>
    <font>
      <name val="Arial"/>
      <color rgb="FF595959"/>
      <sz val="10"/>
    </font>
    <font>
      <name val="Arial"/>
      <i val="1"/>
      <color rgb="FF888888"/>
      <sz val="9"/>
    </font>
    <font>
      <name val="Arial"/>
      <i val="1"/>
      <color rgb="FF555555"/>
      <sz val="9"/>
    </font>
    <font>
      <name val="Arial"/>
      <i val="1"/>
      <color rgb="FFAAAAAA"/>
      <sz val="9"/>
    </font>
    <font>
      <name val="Arial"/>
      <b val="1"/>
      <color rgb="FFC55A11"/>
      <sz val="9"/>
    </font>
    <font>
      <name val="Arial"/>
      <i val="1"/>
      <color rgb="FF666666"/>
      <sz val="8"/>
    </font>
    <font>
      <b val="1"/>
      <sz val="12"/>
    </font>
    <font>
      <b val="1"/>
    </font>
    <font>
      <b val="1"/>
      <color rgb="00FFFFFF"/>
      <sz val="12"/>
    </font>
    <font>
      <b val="1"/>
      <color rgb="00FFFFFF"/>
      <sz val="11"/>
    </font>
  </fonts>
  <fills count="33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1E7145"/>
        <bgColor rgb="FF1E7145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E2EFDA"/>
        <bgColor rgb="FFE2EFDA"/>
      </patternFill>
    </fill>
    <fill>
      <patternFill patternType="solid">
        <fgColor rgb="FFD6E4F0"/>
        <bgColor rgb="FFD6E4F0"/>
      </patternFill>
    </fill>
    <fill>
      <patternFill patternType="solid">
        <fgColor rgb="FFECEFF1"/>
        <bgColor rgb="FFECEFF1"/>
      </patternFill>
    </fill>
    <fill>
      <patternFill patternType="solid">
        <fgColor rgb="FFFFF9C4"/>
        <bgColor rgb="FFFFF9C4"/>
      </patternFill>
    </fill>
    <fill>
      <patternFill patternType="solid">
        <fgColor rgb="FFFFF2CC"/>
        <bgColor rgb="FFFFF2CC"/>
      </patternFill>
    </fill>
    <fill>
      <patternFill patternType="solid">
        <fgColor rgb="FFF5F5F5"/>
        <bgColor rgb="FFF5F5F5"/>
      </patternFill>
    </fill>
    <fill>
      <patternFill patternType="solid">
        <fgColor rgb="FFC8E6C9"/>
        <bgColor rgb="FFC8E6C9"/>
      </patternFill>
    </fill>
    <fill>
      <patternFill patternType="solid">
        <fgColor rgb="FFFFE0E0"/>
        <bgColor rgb="FFFFE0E0"/>
      </patternFill>
    </fill>
    <fill>
      <patternFill patternType="solid">
        <fgColor rgb="FFBBDEFB"/>
        <bgColor rgb="FFBBDEFB"/>
      </patternFill>
    </fill>
    <fill>
      <patternFill patternType="solid">
        <fgColor rgb="FFFFE0B2"/>
        <bgColor rgb="FFFFE0B2"/>
      </patternFill>
    </fill>
    <fill>
      <patternFill patternType="solid">
        <fgColor rgb="FFE1BEE7"/>
        <bgColor rgb="FFE1BEE7"/>
      </patternFill>
    </fill>
    <fill>
      <patternFill patternType="solid">
        <fgColor rgb="FFFCE4EC"/>
        <bgColor rgb="FFFCE4EC"/>
      </patternFill>
    </fill>
    <fill>
      <patternFill patternType="solid">
        <fgColor rgb="FFC5CAE9"/>
        <bgColor rgb="FFC5CAE9"/>
      </patternFill>
    </fill>
    <fill>
      <patternFill patternType="solid">
        <fgColor rgb="FFF8BBD0"/>
        <bgColor rgb="FFF8BBD0"/>
      </patternFill>
    </fill>
    <fill>
      <patternFill patternType="solid">
        <fgColor rgb="FFD7CCC8"/>
        <bgColor rgb="FFD7CCC8"/>
      </patternFill>
    </fill>
    <fill>
      <patternFill patternType="solid">
        <fgColor rgb="FFDD7E6B"/>
        <bgColor rgb="FFDD7E6B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4472C4"/>
      </patternFill>
    </fill>
    <fill>
      <patternFill patternType="solid">
        <fgColor rgb="FFEBF3FB"/>
        <bgColor rgb="FFEBF3FB"/>
      </patternFill>
    </fill>
    <fill>
      <patternFill patternType="solid">
        <fgColor rgb="FFE3F2FD"/>
        <bgColor rgb="FFE3F2FD"/>
      </patternFill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</fills>
  <borders count="31">
    <border/>
    <border>
      <left/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F5496"/>
      </left>
      <right style="thin">
        <color rgb="FF2F5496"/>
      </right>
      <top style="thin">
        <color rgb="FF2F5496"/>
      </top>
      <bottom style="medium">
        <color rgb="FF2F5496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2F5496"/>
      </left>
      <top style="thin">
        <color rgb="FF2F5496"/>
      </top>
      <bottom style="medium">
        <color rgb="FF2F5496"/>
      </bottom>
    </border>
    <border>
      <top style="thin">
        <color rgb="FF2F5496"/>
      </top>
      <bottom style="medium">
        <color rgb="FF2F5496"/>
      </bottom>
    </border>
    <border>
      <right style="thin">
        <color rgb="FF2F5496"/>
      </right>
      <top style="thin">
        <color rgb="FF2F5496"/>
      </top>
      <bottom style="medium">
        <color rgb="FF2F5496"/>
      </bottom>
    </border>
    <border>
      <left style="thin">
        <color rgb="FF2F5496"/>
      </left>
      <bottom style="medium">
        <color rgb="FF2F5496"/>
      </bottom>
    </border>
    <border>
      <bottom style="medium">
        <color rgb="FF2F5496"/>
      </bottom>
    </border>
    <border>
      <right style="thin">
        <color rgb="FF2F5496"/>
      </right>
      <bottom style="medium">
        <color rgb="FF2F5496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2F5496"/>
      </bottom>
    </border>
    <border>
      <left style="thin">
        <color rgb="FFAAAAAA"/>
      </left>
      <top style="thin">
        <color rgb="FFAAAAAA"/>
      </top>
      <bottom style="medium">
        <color rgb="FF2F5496"/>
      </bottom>
    </border>
    <border>
      <top style="thin">
        <color rgb="FFAAAAAA"/>
      </top>
      <bottom style="medium">
        <color rgb="FF2F5496"/>
      </bottom>
    </border>
    <border>
      <right style="thin">
        <color rgb="FFAAAAAA"/>
      </right>
      <top style="thin">
        <color rgb="FFAAAAAA"/>
      </top>
      <bottom style="medium">
        <color rgb="FF2F5496"/>
      </bottom>
    </border>
    <border>
      <top style="thin">
        <color rgb="FFAAAAAA"/>
      </top>
    </border>
    <border>
      <right style="thin">
        <color rgb="FFAAAAAA"/>
      </right>
      <top style="thin">
        <color rgb="FFAAAAAA"/>
      </top>
    </border>
    <border>
      <top style="thin">
        <color rgb="FF2F5496"/>
      </top>
    </border>
    <border>
      <right style="thin">
        <color rgb="FF2F5496"/>
      </right>
      <top style="thin">
        <color rgb="FF2F5496"/>
      </top>
    </border>
    <border>
      <left style="thin">
        <color rgb="FF2F5496"/>
      </left>
      <right style="thin">
        <color rgb="FF2F5496"/>
      </right>
      <bottom style="medium">
        <color rgb="FF2F5496"/>
      </bottom>
    </border>
    <border>
      <right style="thin">
        <color rgb="FF2F5496"/>
      </right>
    </border>
    <border>
      <left style="thin"/>
      <right style="thin"/>
      <top style="thin"/>
      <bottom style="thin"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4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0" pivotButton="0" quotePrefix="0" xfId="0"/>
    <xf numFmtId="164" fontId="10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center" vertical="center"/>
    </xf>
    <xf numFmtId="4" fontId="13" fillId="7" borderId="2" applyAlignment="1" pivotButton="0" quotePrefix="0" xfId="0">
      <alignment horizontal="right" vertical="center"/>
    </xf>
    <xf numFmtId="4" fontId="14" fillId="6" borderId="2" applyAlignment="1" pivotButton="0" quotePrefix="0" xfId="0">
      <alignment horizontal="right" vertical="center"/>
    </xf>
    <xf numFmtId="4" fontId="10" fillId="6" borderId="2" applyAlignment="1" pivotButton="0" quotePrefix="0" xfId="0">
      <alignment horizontal="right" vertical="center"/>
    </xf>
    <xf numFmtId="4" fontId="15" fillId="6" borderId="2" applyAlignment="1" pivotButton="0" quotePrefix="0" xfId="0">
      <alignment horizontal="right" vertical="center"/>
    </xf>
    <xf numFmtId="3" fontId="13" fillId="7" borderId="2" applyAlignment="1" pivotButton="0" quotePrefix="0" xfId="0">
      <alignment horizontal="right" vertical="center"/>
    </xf>
    <xf numFmtId="3" fontId="16" fillId="8" borderId="2" applyAlignment="1" pivotButton="0" quotePrefix="0" xfId="0">
      <alignment horizontal="right" vertical="center"/>
    </xf>
    <xf numFmtId="3" fontId="17" fillId="8" borderId="2" applyAlignment="1" pivotButton="0" quotePrefix="0" xfId="0">
      <alignment horizontal="right" vertical="center"/>
    </xf>
    <xf numFmtId="0" fontId="13" fillId="6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4" fontId="13" fillId="9" borderId="2" applyAlignment="1" pivotButton="0" quotePrefix="0" xfId="0">
      <alignment horizontal="right" vertical="center"/>
    </xf>
    <xf numFmtId="4" fontId="14" fillId="9" borderId="2" applyAlignment="1" pivotButton="0" quotePrefix="0" xfId="0">
      <alignment horizontal="right" vertical="center"/>
    </xf>
    <xf numFmtId="4" fontId="10" fillId="9" borderId="2" applyAlignment="1" pivotButton="0" quotePrefix="0" xfId="0">
      <alignment horizontal="right" vertical="center"/>
    </xf>
    <xf numFmtId="4" fontId="15" fillId="9" borderId="2" applyAlignment="1" pivotButton="0" quotePrefix="0" xfId="0">
      <alignment horizontal="right" vertical="center"/>
    </xf>
    <xf numFmtId="3" fontId="13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/>
    </xf>
    <xf numFmtId="4" fontId="13" fillId="10" borderId="2" applyAlignment="1" pivotButton="0" quotePrefix="0" xfId="0">
      <alignment horizontal="right" vertical="center"/>
    </xf>
    <xf numFmtId="4" fontId="14" fillId="10" borderId="2" applyAlignment="1" pivotButton="0" quotePrefix="0" xfId="0">
      <alignment horizontal="right" vertical="center"/>
    </xf>
    <xf numFmtId="4" fontId="10" fillId="10" borderId="2" applyAlignment="1" pivotButton="0" quotePrefix="0" xfId="0">
      <alignment horizontal="right" vertical="center"/>
    </xf>
    <xf numFmtId="4" fontId="18" fillId="11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center" vertical="center"/>
    </xf>
    <xf numFmtId="4" fontId="13" fillId="12" borderId="2" applyAlignment="1" pivotButton="0" quotePrefix="0" xfId="0">
      <alignment horizontal="right" vertical="center"/>
    </xf>
    <xf numFmtId="4" fontId="14" fillId="12" borderId="2" applyAlignment="1" pivotButton="0" quotePrefix="0" xfId="0">
      <alignment horizontal="right" vertical="center"/>
    </xf>
    <xf numFmtId="4" fontId="20" fillId="12" borderId="2" applyAlignment="1" pivotButton="0" quotePrefix="0" xfId="0">
      <alignment horizontal="right" vertical="center"/>
    </xf>
    <xf numFmtId="3" fontId="21" fillId="8" borderId="2" applyAlignment="1" pivotButton="0" quotePrefix="0" xfId="0">
      <alignment horizontal="right" vertical="center"/>
    </xf>
    <xf numFmtId="0" fontId="13" fillId="12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center" vertical="center"/>
    </xf>
    <xf numFmtId="4" fontId="13" fillId="13" borderId="2" applyAlignment="1" pivotButton="0" quotePrefix="0" xfId="0">
      <alignment horizontal="right" vertical="center"/>
    </xf>
    <xf numFmtId="4" fontId="14" fillId="13" borderId="2" applyAlignment="1" pivotButton="0" quotePrefix="0" xfId="0">
      <alignment horizontal="right" vertical="center"/>
    </xf>
    <xf numFmtId="4" fontId="10" fillId="13" borderId="2" applyAlignment="1" pivotButton="0" quotePrefix="0" xfId="0">
      <alignment horizontal="right" vertical="center"/>
    </xf>
    <xf numFmtId="0" fontId="13" fillId="13" borderId="2" applyAlignment="1" pivotButton="0" quotePrefix="0" xfId="0">
      <alignment horizontal="center" vertical="center"/>
    </xf>
    <xf numFmtId="0" fontId="22" fillId="8" borderId="3" applyAlignment="1" pivotButton="0" quotePrefix="0" xfId="0">
      <alignment horizontal="center" vertical="center"/>
    </xf>
    <xf numFmtId="4" fontId="23" fillId="8" borderId="3" applyAlignment="1" pivotButton="0" quotePrefix="0" xfId="0">
      <alignment horizontal="right" vertical="center"/>
    </xf>
    <xf numFmtId="4" fontId="24" fillId="8" borderId="3" applyAlignment="1" pivotButton="0" quotePrefix="0" xfId="0">
      <alignment horizontal="right" vertical="center"/>
    </xf>
    <xf numFmtId="4" fontId="14" fillId="8" borderId="3" pivotButton="0" quotePrefix="0" xfId="0"/>
    <xf numFmtId="3" fontId="23" fillId="7" borderId="3" applyAlignment="1" pivotButton="0" quotePrefix="0" xfId="0">
      <alignment horizontal="right" vertical="center"/>
    </xf>
    <xf numFmtId="3" fontId="14" fillId="8" borderId="3" pivotButton="0" quotePrefix="0" xfId="0"/>
    <xf numFmtId="0" fontId="14" fillId="8" borderId="3" pivotButton="0" quotePrefix="0" xfId="0"/>
    <xf numFmtId="4" fontId="9" fillId="0" borderId="0" pivotButton="0" quotePrefix="0" xfId="0"/>
    <xf numFmtId="3" fontId="9" fillId="0" borderId="0" pivotButton="0" quotePrefix="0" xfId="0"/>
    <xf numFmtId="4" fontId="25" fillId="14" borderId="2" applyAlignment="1" pivotButton="0" quotePrefix="0" xfId="0">
      <alignment horizontal="right" vertical="center"/>
    </xf>
    <xf numFmtId="3" fontId="25" fillId="14" borderId="2" applyAlignment="1" pivotButton="0" quotePrefix="0" xfId="0">
      <alignment horizontal="right" vertical="center"/>
    </xf>
    <xf numFmtId="164" fontId="10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2" fillId="15" borderId="2" applyAlignment="1" pivotButton="0" quotePrefix="0" xfId="0">
      <alignment horizontal="center" vertical="center"/>
    </xf>
    <xf numFmtId="4" fontId="13" fillId="15" borderId="2" applyAlignment="1" pivotButton="0" quotePrefix="0" xfId="0">
      <alignment horizontal="right" vertical="center"/>
    </xf>
    <xf numFmtId="4" fontId="14" fillId="15" borderId="2" applyAlignment="1" pivotButton="0" quotePrefix="0" xfId="0">
      <alignment horizontal="right" vertical="center"/>
    </xf>
    <xf numFmtId="4" fontId="10" fillId="15" borderId="2" applyAlignment="1" pivotButton="0" quotePrefix="0" xfId="0">
      <alignment horizontal="right" vertical="center"/>
    </xf>
    <xf numFmtId="4" fontId="15" fillId="15" borderId="2" applyAlignment="1" pivotButton="0" quotePrefix="0" xfId="0">
      <alignment horizontal="right" vertical="center"/>
    </xf>
    <xf numFmtId="0" fontId="13" fillId="15" borderId="2" applyAlignment="1" pivotButton="0" quotePrefix="0" xfId="0">
      <alignment horizontal="center" vertical="center"/>
    </xf>
    <xf numFmtId="4" fontId="15" fillId="10" borderId="2" applyAlignment="1" pivotButton="0" quotePrefix="0" xfId="0">
      <alignment horizontal="right" vertical="center"/>
    </xf>
    <xf numFmtId="4" fontId="15" fillId="12" borderId="2" applyAlignment="1" pivotButton="0" quotePrefix="0" xfId="0">
      <alignment horizontal="right" vertical="center"/>
    </xf>
    <xf numFmtId="4" fontId="15" fillId="13" borderId="2" applyAlignment="1" pivotButton="0" quotePrefix="0" xfId="0">
      <alignment horizontal="right" vertical="center"/>
    </xf>
    <xf numFmtId="164" fontId="10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left" vertical="center"/>
    </xf>
    <xf numFmtId="0" fontId="12" fillId="16" borderId="2" applyAlignment="1" pivotButton="0" quotePrefix="0" xfId="0">
      <alignment horizontal="center" vertical="center"/>
    </xf>
    <xf numFmtId="4" fontId="13" fillId="16" borderId="2" applyAlignment="1" pivotButton="0" quotePrefix="0" xfId="0">
      <alignment horizontal="right" vertical="center"/>
    </xf>
    <xf numFmtId="4" fontId="14" fillId="16" borderId="2" applyAlignment="1" pivotButton="0" quotePrefix="0" xfId="0">
      <alignment horizontal="right" vertical="center"/>
    </xf>
    <xf numFmtId="4" fontId="10" fillId="16" borderId="2" applyAlignment="1" pivotButton="0" quotePrefix="0" xfId="0">
      <alignment horizontal="right" vertical="center"/>
    </xf>
    <xf numFmtId="4" fontId="15" fillId="16" borderId="2" applyAlignment="1" pivotButton="0" quotePrefix="0" xfId="0">
      <alignment horizontal="right" vertical="center"/>
    </xf>
    <xf numFmtId="0" fontId="13" fillId="16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left" vertical="center"/>
    </xf>
    <xf numFmtId="0" fontId="12" fillId="17" borderId="2" applyAlignment="1" pivotButton="0" quotePrefix="0" xfId="0">
      <alignment horizontal="center" vertical="center"/>
    </xf>
    <xf numFmtId="4" fontId="13" fillId="17" borderId="2" applyAlignment="1" pivotButton="0" quotePrefix="0" xfId="0">
      <alignment horizontal="right" vertical="center"/>
    </xf>
    <xf numFmtId="4" fontId="14" fillId="17" borderId="2" applyAlignment="1" pivotButton="0" quotePrefix="0" xfId="0">
      <alignment horizontal="right" vertical="center"/>
    </xf>
    <xf numFmtId="4" fontId="10" fillId="17" borderId="2" applyAlignment="1" pivotButton="0" quotePrefix="0" xfId="0">
      <alignment horizontal="right" vertical="center"/>
    </xf>
    <xf numFmtId="4" fontId="15" fillId="17" borderId="2" applyAlignment="1" pivotButton="0" quotePrefix="0" xfId="0">
      <alignment horizontal="right" vertical="center"/>
    </xf>
    <xf numFmtId="0" fontId="13" fillId="17" borderId="2" applyAlignment="1" pivotButton="0" quotePrefix="0" xfId="0">
      <alignment horizontal="center" vertical="center"/>
    </xf>
    <xf numFmtId="164" fontId="10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left" vertical="center"/>
    </xf>
    <xf numFmtId="0" fontId="12" fillId="18" borderId="2" applyAlignment="1" pivotButton="0" quotePrefix="0" xfId="0">
      <alignment horizontal="center" vertical="center"/>
    </xf>
    <xf numFmtId="4" fontId="13" fillId="18" borderId="2" applyAlignment="1" pivotButton="0" quotePrefix="0" xfId="0">
      <alignment horizontal="right" vertical="center"/>
    </xf>
    <xf numFmtId="4" fontId="14" fillId="18" borderId="2" applyAlignment="1" pivotButton="0" quotePrefix="0" xfId="0">
      <alignment horizontal="right" vertical="center"/>
    </xf>
    <xf numFmtId="4" fontId="10" fillId="18" borderId="2" applyAlignment="1" pivotButton="0" quotePrefix="0" xfId="0">
      <alignment horizontal="right" vertical="center"/>
    </xf>
    <xf numFmtId="4" fontId="15" fillId="18" borderId="2" applyAlignment="1" pivotButton="0" quotePrefix="0" xfId="0">
      <alignment horizontal="right" vertical="center"/>
    </xf>
    <xf numFmtId="0" fontId="13" fillId="18" borderId="2" applyAlignment="1" pivotButton="0" quotePrefix="0" xfId="0">
      <alignment horizontal="center" vertical="center"/>
    </xf>
    <xf numFmtId="164" fontId="10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11" fillId="19" borderId="2" applyAlignment="1" pivotButton="0" quotePrefix="0" xfId="0">
      <alignment horizontal="left" vertical="center"/>
    </xf>
    <xf numFmtId="0" fontId="12" fillId="19" borderId="2" applyAlignment="1" pivotButton="0" quotePrefix="0" xfId="0">
      <alignment horizontal="center" vertical="center"/>
    </xf>
    <xf numFmtId="4" fontId="13" fillId="19" borderId="2" applyAlignment="1" pivotButton="0" quotePrefix="0" xfId="0">
      <alignment horizontal="right" vertical="center"/>
    </xf>
    <xf numFmtId="4" fontId="14" fillId="19" borderId="2" applyAlignment="1" pivotButton="0" quotePrefix="0" xfId="0">
      <alignment horizontal="right" vertical="center"/>
    </xf>
    <xf numFmtId="4" fontId="10" fillId="19" borderId="2" applyAlignment="1" pivotButton="0" quotePrefix="0" xfId="0">
      <alignment horizontal="right" vertical="center"/>
    </xf>
    <xf numFmtId="4" fontId="15" fillId="19" borderId="2" applyAlignment="1" pivotButton="0" quotePrefix="0" xfId="0">
      <alignment horizontal="right" vertical="center"/>
    </xf>
    <xf numFmtId="0" fontId="13" fillId="19" borderId="2" applyAlignment="1" pivotButton="0" quotePrefix="0" xfId="0">
      <alignment horizontal="center" vertical="center"/>
    </xf>
    <xf numFmtId="164" fontId="10" fillId="20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left" vertical="center"/>
    </xf>
    <xf numFmtId="0" fontId="12" fillId="20" borderId="2" applyAlignment="1" pivotButton="0" quotePrefix="0" xfId="0">
      <alignment horizontal="center" vertical="center"/>
    </xf>
    <xf numFmtId="4" fontId="13" fillId="20" borderId="2" applyAlignment="1" pivotButton="0" quotePrefix="0" xfId="0">
      <alignment horizontal="right" vertical="center"/>
    </xf>
    <xf numFmtId="4" fontId="14" fillId="20" borderId="2" applyAlignment="1" pivotButton="0" quotePrefix="0" xfId="0">
      <alignment horizontal="right" vertical="center"/>
    </xf>
    <xf numFmtId="4" fontId="10" fillId="20" borderId="2" applyAlignment="1" pivotButton="0" quotePrefix="0" xfId="0">
      <alignment horizontal="right" vertical="center"/>
    </xf>
    <xf numFmtId="4" fontId="15" fillId="20" borderId="2" applyAlignment="1" pivotButton="0" quotePrefix="0" xfId="0">
      <alignment horizontal="right" vertical="center"/>
    </xf>
    <xf numFmtId="0" fontId="13" fillId="20" borderId="2" applyAlignment="1" pivotButton="0" quotePrefix="0" xfId="0">
      <alignment horizontal="center" vertical="center"/>
    </xf>
    <xf numFmtId="164" fontId="10" fillId="21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left" vertical="center"/>
    </xf>
    <xf numFmtId="0" fontId="12" fillId="21" borderId="2" applyAlignment="1" pivotButton="0" quotePrefix="0" xfId="0">
      <alignment horizontal="center" vertical="center"/>
    </xf>
    <xf numFmtId="4" fontId="13" fillId="21" borderId="2" applyAlignment="1" pivotButton="0" quotePrefix="0" xfId="0">
      <alignment horizontal="right" vertical="center"/>
    </xf>
    <xf numFmtId="4" fontId="14" fillId="21" borderId="2" applyAlignment="1" pivotButton="0" quotePrefix="0" xfId="0">
      <alignment horizontal="right" vertical="center"/>
    </xf>
    <xf numFmtId="4" fontId="10" fillId="21" borderId="2" applyAlignment="1" pivotButton="0" quotePrefix="0" xfId="0">
      <alignment horizontal="right" vertical="center"/>
    </xf>
    <xf numFmtId="0" fontId="13" fillId="21" borderId="2" applyAlignment="1" pivotButton="0" quotePrefix="0" xfId="0">
      <alignment horizontal="center" vertical="center"/>
    </xf>
    <xf numFmtId="3" fontId="23" fillId="7" borderId="1" applyAlignment="1" pivotButton="0" quotePrefix="0" xfId="0">
      <alignment horizontal="right" vertical="center"/>
    </xf>
    <xf numFmtId="3" fontId="14" fillId="8" borderId="1" pivotButton="0" quotePrefix="0" xfId="0"/>
    <xf numFmtId="0" fontId="11" fillId="10" borderId="2" applyAlignment="1" pivotButton="0" quotePrefix="0" xfId="0">
      <alignment horizontal="left" vertical="center"/>
    </xf>
    <xf numFmtId="4" fontId="10" fillId="10" borderId="2" applyAlignment="1" pivotButton="0" quotePrefix="0" xfId="0">
      <alignment horizontal="right" vertical="center"/>
    </xf>
    <xf numFmtId="164" fontId="10" fillId="22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left" vertical="center"/>
    </xf>
    <xf numFmtId="0" fontId="12" fillId="22" borderId="2" applyAlignment="1" pivotButton="0" quotePrefix="0" xfId="0">
      <alignment horizontal="center" vertical="center"/>
    </xf>
    <xf numFmtId="4" fontId="23" fillId="22" borderId="0" applyAlignment="1" pivotButton="0" quotePrefix="0" xfId="0">
      <alignment horizontal="right" vertical="center"/>
    </xf>
    <xf numFmtId="4" fontId="24" fillId="22" borderId="0" applyAlignment="1" pivotButton="0" quotePrefix="0" xfId="0">
      <alignment horizontal="right" vertical="center"/>
    </xf>
    <xf numFmtId="4" fontId="23" fillId="22" borderId="0" applyAlignment="1" pivotButton="0" quotePrefix="0" xfId="0">
      <alignment horizontal="right" vertical="center"/>
    </xf>
    <xf numFmtId="4" fontId="10" fillId="19" borderId="2" applyAlignment="1" pivotButton="0" quotePrefix="0" xfId="0">
      <alignment horizontal="right" vertical="center"/>
    </xf>
    <xf numFmtId="0" fontId="22" fillId="8" borderId="0" applyAlignment="1" pivotButton="0" quotePrefix="0" xfId="0">
      <alignment horizontal="center" vertical="center"/>
    </xf>
    <xf numFmtId="4" fontId="23" fillId="8" borderId="0" applyAlignment="1" pivotButton="0" quotePrefix="0" xfId="0">
      <alignment horizontal="right" vertical="center"/>
    </xf>
    <xf numFmtId="4" fontId="24" fillId="8" borderId="0" applyAlignment="1" pivotButton="0" quotePrefix="0" xfId="0">
      <alignment horizontal="right" vertical="center"/>
    </xf>
    <xf numFmtId="0" fontId="14" fillId="8" borderId="0" pivotButton="0" quotePrefix="0" xfId="0"/>
    <xf numFmtId="3" fontId="23" fillId="7" borderId="0" applyAlignment="1" pivotButton="0" quotePrefix="0" xfId="0">
      <alignment horizontal="right" vertical="center"/>
    </xf>
    <xf numFmtId="0" fontId="22" fillId="8" borderId="1" applyAlignment="1" pivotButton="0" quotePrefix="0" xfId="0">
      <alignment horizontal="center" vertical="center"/>
    </xf>
    <xf numFmtId="4" fontId="23" fillId="8" borderId="1" applyAlignment="1" pivotButton="0" quotePrefix="0" xfId="0">
      <alignment horizontal="right" vertical="center"/>
    </xf>
    <xf numFmtId="4" fontId="24" fillId="8" borderId="1" applyAlignment="1" pivotButton="0" quotePrefix="0" xfId="0">
      <alignment horizontal="right" vertical="center"/>
    </xf>
    <xf numFmtId="4" fontId="14" fillId="8" borderId="1" pivotButton="0" quotePrefix="0" xfId="0"/>
    <xf numFmtId="0" fontId="26" fillId="2" borderId="1" applyAlignment="1" pivotButton="0" quotePrefix="0" xfId="0">
      <alignment horizontal="right" vertical="center"/>
    </xf>
    <xf numFmtId="4" fontId="26" fillId="2" borderId="3" applyAlignment="1" pivotButton="0" quotePrefix="0" xfId="0">
      <alignment horizontal="right" vertical="center"/>
    </xf>
    <xf numFmtId="4" fontId="6" fillId="2" borderId="3" applyAlignment="1" pivotButton="0" quotePrefix="0" xfId="0">
      <alignment horizontal="right" vertical="center"/>
    </xf>
    <xf numFmtId="4" fontId="5" fillId="2" borderId="3" applyAlignment="1" pivotButton="0" quotePrefix="0" xfId="0">
      <alignment horizontal="right" vertical="center"/>
    </xf>
    <xf numFmtId="3" fontId="26" fillId="4" borderId="3" applyAlignment="1" pivotButton="0" quotePrefix="0" xfId="0">
      <alignment horizontal="right" vertical="center"/>
    </xf>
    <xf numFmtId="3" fontId="5" fillId="2" borderId="3" applyAlignment="1" pivotButton="0" quotePrefix="0" xfId="0">
      <alignment horizontal="right" vertical="center"/>
    </xf>
    <xf numFmtId="0" fontId="14" fillId="2" borderId="3" pivotButton="0" quotePrefix="0" xfId="0"/>
    <xf numFmtId="0" fontId="27" fillId="5" borderId="1" applyAlignment="1" pivotButton="0" quotePrefix="0" xfId="0">
      <alignment horizontal="left" vertical="center"/>
    </xf>
    <xf numFmtId="0" fontId="28" fillId="23" borderId="1" pivotButton="0" quotePrefix="0" xfId="0"/>
    <xf numFmtId="0" fontId="29" fillId="2" borderId="4" applyAlignment="1" pivotButton="0" quotePrefix="0" xfId="0">
      <alignment horizontal="center" vertical="center"/>
    </xf>
    <xf numFmtId="0" fontId="30" fillId="0" borderId="5" pivotButton="0" quotePrefix="0" xfId="0"/>
    <xf numFmtId="0" fontId="30" fillId="0" borderId="6" pivotButton="0" quotePrefix="0" xfId="0"/>
    <xf numFmtId="0" fontId="4" fillId="3" borderId="4" applyAlignment="1" pivotButton="0" quotePrefix="0" xfId="0">
      <alignment horizontal="center" vertical="center"/>
    </xf>
    <xf numFmtId="0" fontId="26" fillId="3" borderId="4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30" fillId="0" borderId="8" pivotButton="0" quotePrefix="0" xfId="0"/>
    <xf numFmtId="0" fontId="30" fillId="0" borderId="9" pivotButton="0" quotePrefix="0" xfId="0"/>
    <xf numFmtId="165" fontId="10" fillId="7" borderId="2" applyAlignment="1" pivotButton="0" quotePrefix="0" xfId="0">
      <alignment horizontal="center" vertical="center"/>
    </xf>
    <xf numFmtId="0" fontId="10" fillId="7" borderId="7" applyAlignment="1" pivotButton="0" quotePrefix="0" xfId="0">
      <alignment horizontal="left" vertical="center"/>
    </xf>
    <xf numFmtId="0" fontId="23" fillId="11" borderId="3" applyAlignment="1" pivotButton="0" quotePrefix="0" xfId="0">
      <alignment horizontal="center" vertical="center"/>
    </xf>
    <xf numFmtId="4" fontId="23" fillId="11" borderId="3" applyAlignment="1" pivotButton="0" quotePrefix="0" xfId="0">
      <alignment horizontal="right" vertical="center"/>
    </xf>
    <xf numFmtId="3" fontId="23" fillId="11" borderId="3" applyAlignment="1" pivotButton="0" quotePrefix="0" xfId="0">
      <alignment horizontal="right" vertical="center"/>
    </xf>
    <xf numFmtId="0" fontId="14" fillId="11" borderId="10" pivotButton="0" quotePrefix="0" xfId="0"/>
    <xf numFmtId="0" fontId="30" fillId="0" borderId="11" pivotButton="0" quotePrefix="0" xfId="0"/>
    <xf numFmtId="0" fontId="30" fillId="0" borderId="12" pivotButton="0" quotePrefix="0" xfId="0"/>
    <xf numFmtId="0" fontId="7" fillId="24" borderId="7" applyAlignment="1" pivotButton="0" quotePrefix="0" xfId="0">
      <alignment horizontal="left" vertical="center"/>
    </xf>
    <xf numFmtId="0" fontId="7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right" vertical="center"/>
    </xf>
    <xf numFmtId="0" fontId="15" fillId="13" borderId="7" applyAlignment="1" pivotButton="0" quotePrefix="0" xfId="0">
      <alignment horizontal="left" vertical="center"/>
    </xf>
    <xf numFmtId="0" fontId="11" fillId="13" borderId="7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3" fontId="15" fillId="13" borderId="2" applyAlignment="1" pivotButton="0" quotePrefix="0" xfId="0">
      <alignment horizontal="right" vertical="center"/>
    </xf>
    <xf numFmtId="166" fontId="10" fillId="13" borderId="2" applyAlignment="1" pivotButton="0" quotePrefix="0" xfId="0">
      <alignment horizontal="center" vertical="center"/>
    </xf>
    <xf numFmtId="0" fontId="15" fillId="15" borderId="7" applyAlignment="1" pivotButton="0" quotePrefix="0" xfId="0">
      <alignment horizontal="left" vertical="center"/>
    </xf>
    <xf numFmtId="0" fontId="11" fillId="15" borderId="7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3" fontId="15" fillId="15" borderId="2" applyAlignment="1" pivotButton="0" quotePrefix="0" xfId="0">
      <alignment horizontal="right" vertical="center"/>
    </xf>
    <xf numFmtId="166" fontId="10" fillId="15" borderId="2" applyAlignment="1" pivotButton="0" quotePrefix="0" xfId="0">
      <alignment horizontal="center" vertical="center"/>
    </xf>
    <xf numFmtId="0" fontId="15" fillId="16" borderId="7" applyAlignment="1" pivotButton="0" quotePrefix="0" xfId="0">
      <alignment horizontal="left" vertical="center"/>
    </xf>
    <xf numFmtId="0" fontId="11" fillId="16" borderId="7" applyAlignment="1" pivotButton="0" quotePrefix="0" xfId="0">
      <alignment horizontal="left" vertical="center"/>
    </xf>
    <xf numFmtId="0" fontId="10" fillId="16" borderId="2" applyAlignment="1" pivotButton="0" quotePrefix="0" xfId="0">
      <alignment horizontal="center" vertical="center"/>
    </xf>
    <xf numFmtId="3" fontId="15" fillId="16" borderId="2" applyAlignment="1" pivotButton="0" quotePrefix="0" xfId="0">
      <alignment horizontal="right" vertical="center"/>
    </xf>
    <xf numFmtId="166" fontId="10" fillId="16" borderId="2" applyAlignment="1" pivotButton="0" quotePrefix="0" xfId="0">
      <alignment horizontal="center" vertical="center"/>
    </xf>
    <xf numFmtId="0" fontId="15" fillId="17" borderId="7" applyAlignment="1" pivotButton="0" quotePrefix="0" xfId="0">
      <alignment horizontal="left" vertical="center"/>
    </xf>
    <xf numFmtId="0" fontId="11" fillId="17" borderId="7" applyAlignment="1" pivotButton="0" quotePrefix="0" xfId="0">
      <alignment horizontal="left" vertical="center"/>
    </xf>
    <xf numFmtId="0" fontId="10" fillId="17" borderId="2" applyAlignment="1" pivotButton="0" quotePrefix="0" xfId="0">
      <alignment horizontal="center" vertical="center"/>
    </xf>
    <xf numFmtId="3" fontId="15" fillId="17" borderId="2" applyAlignment="1" pivotButton="0" quotePrefix="0" xfId="0">
      <alignment horizontal="right" vertical="center"/>
    </xf>
    <xf numFmtId="166" fontId="10" fillId="17" borderId="2" applyAlignment="1" pivotButton="0" quotePrefix="0" xfId="0">
      <alignment horizontal="center" vertical="center"/>
    </xf>
    <xf numFmtId="0" fontId="15" fillId="18" borderId="7" applyAlignment="1" pivotButton="0" quotePrefix="0" xfId="0">
      <alignment horizontal="left" vertical="center"/>
    </xf>
    <xf numFmtId="0" fontId="11" fillId="18" borderId="7" applyAlignment="1" pivotButton="0" quotePrefix="0" xfId="0">
      <alignment horizontal="left" vertical="center"/>
    </xf>
    <xf numFmtId="0" fontId="10" fillId="18" borderId="2" applyAlignment="1" pivotButton="0" quotePrefix="0" xfId="0">
      <alignment horizontal="center" vertical="center"/>
    </xf>
    <xf numFmtId="3" fontId="15" fillId="18" borderId="2" applyAlignment="1" pivotButton="0" quotePrefix="0" xfId="0">
      <alignment horizontal="right" vertical="center"/>
    </xf>
    <xf numFmtId="166" fontId="10" fillId="18" borderId="2" applyAlignment="1" pivotButton="0" quotePrefix="0" xfId="0">
      <alignment horizontal="center" vertical="center"/>
    </xf>
    <xf numFmtId="0" fontId="15" fillId="10" borderId="7" applyAlignment="1" pivotButton="0" quotePrefix="0" xfId="0">
      <alignment horizontal="left" vertical="center"/>
    </xf>
    <xf numFmtId="0" fontId="11" fillId="10" borderId="7" applyAlignment="1" pivotButton="0" quotePrefix="0" xfId="0">
      <alignment horizontal="left" vertical="center"/>
    </xf>
    <xf numFmtId="0" fontId="10" fillId="10" borderId="2" applyAlignment="1" pivotButton="0" quotePrefix="0" xfId="0">
      <alignment horizontal="center" vertical="center"/>
    </xf>
    <xf numFmtId="3" fontId="15" fillId="10" borderId="2" applyAlignment="1" pivotButton="0" quotePrefix="0" xfId="0">
      <alignment horizontal="right" vertical="center"/>
    </xf>
    <xf numFmtId="166" fontId="10" fillId="10" borderId="2" applyAlignment="1" pivotButton="0" quotePrefix="0" xfId="0">
      <alignment horizontal="center" vertical="center"/>
    </xf>
    <xf numFmtId="0" fontId="15" fillId="19" borderId="7" applyAlignment="1" pivotButton="0" quotePrefix="0" xfId="0">
      <alignment horizontal="left" vertical="center"/>
    </xf>
    <xf numFmtId="0" fontId="11" fillId="19" borderId="7" applyAlignment="1" pivotButton="0" quotePrefix="0" xfId="0">
      <alignment horizontal="left" vertical="center"/>
    </xf>
    <xf numFmtId="0" fontId="10" fillId="19" borderId="2" applyAlignment="1" pivotButton="0" quotePrefix="0" xfId="0">
      <alignment horizontal="center" vertical="center"/>
    </xf>
    <xf numFmtId="3" fontId="15" fillId="19" borderId="2" applyAlignment="1" pivotButton="0" quotePrefix="0" xfId="0">
      <alignment horizontal="right" vertical="center"/>
    </xf>
    <xf numFmtId="166" fontId="10" fillId="19" borderId="2" applyAlignment="1" pivotButton="0" quotePrefix="0" xfId="0">
      <alignment horizontal="center" vertical="center"/>
    </xf>
    <xf numFmtId="0" fontId="15" fillId="21" borderId="7" applyAlignment="1" pivotButton="0" quotePrefix="0" xfId="0">
      <alignment horizontal="left" vertical="center"/>
    </xf>
    <xf numFmtId="0" fontId="11" fillId="21" borderId="7" applyAlignment="1" pivotButton="0" quotePrefix="0" xfId="0">
      <alignment horizontal="left" vertical="center"/>
    </xf>
    <xf numFmtId="0" fontId="10" fillId="21" borderId="2" applyAlignment="1" pivotButton="0" quotePrefix="0" xfId="0">
      <alignment horizontal="center" vertical="center"/>
    </xf>
    <xf numFmtId="4" fontId="15" fillId="21" borderId="2" applyAlignment="1" pivotButton="0" quotePrefix="0" xfId="0">
      <alignment horizontal="right" vertical="center"/>
    </xf>
    <xf numFmtId="3" fontId="15" fillId="21" borderId="2" applyAlignment="1" pivotButton="0" quotePrefix="0" xfId="0">
      <alignment horizontal="right" vertical="center"/>
    </xf>
    <xf numFmtId="166" fontId="10" fillId="21" borderId="2" applyAlignment="1" pivotButton="0" quotePrefix="0" xfId="0">
      <alignment horizontal="center" vertical="center"/>
    </xf>
    <xf numFmtId="0" fontId="15" fillId="20" borderId="7" applyAlignment="1" pivotButton="0" quotePrefix="0" xfId="0">
      <alignment horizontal="left" vertical="center"/>
    </xf>
    <xf numFmtId="0" fontId="11" fillId="20" borderId="7" applyAlignment="1" pivotButton="0" quotePrefix="0" xfId="0">
      <alignment horizontal="left" vertical="center"/>
    </xf>
    <xf numFmtId="0" fontId="10" fillId="20" borderId="2" applyAlignment="1" pivotButton="0" quotePrefix="0" xfId="0">
      <alignment horizontal="center" vertical="center"/>
    </xf>
    <xf numFmtId="3" fontId="15" fillId="20" borderId="2" applyAlignment="1" pivotButton="0" quotePrefix="0" xfId="0">
      <alignment horizontal="right" vertical="center"/>
    </xf>
    <xf numFmtId="166" fontId="10" fillId="20" borderId="2" applyAlignment="1" pivotButton="0" quotePrefix="0" xfId="0">
      <alignment horizontal="center" vertical="center"/>
    </xf>
    <xf numFmtId="0" fontId="31" fillId="9" borderId="7" pivotButton="0" quotePrefix="0" xfId="0"/>
    <xf numFmtId="0" fontId="11" fillId="9" borderId="7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4" fontId="15" fillId="9" borderId="2" applyAlignment="1" pivotButton="0" quotePrefix="0" xfId="0">
      <alignment horizontal="right" vertical="center"/>
    </xf>
    <xf numFmtId="3" fontId="15" fillId="9" borderId="2" applyAlignment="1" pivotButton="0" quotePrefix="0" xfId="0">
      <alignment horizontal="right" vertical="center"/>
    </xf>
    <xf numFmtId="166" fontId="10" fillId="9" borderId="2" applyAlignment="1" pivotButton="0" quotePrefix="0" xfId="0">
      <alignment horizontal="center" vertical="center"/>
    </xf>
    <xf numFmtId="0" fontId="31" fillId="9" borderId="7" pivotButton="0" quotePrefix="0" xfId="0"/>
    <xf numFmtId="0" fontId="11" fillId="9" borderId="7" applyAlignment="1" pivotButton="0" quotePrefix="0" xfId="0">
      <alignment horizontal="left" vertical="center"/>
    </xf>
    <xf numFmtId="0" fontId="10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right" vertical="center"/>
    </xf>
    <xf numFmtId="0" fontId="32" fillId="11" borderId="13" applyAlignment="1" pivotButton="0" quotePrefix="0" xfId="0">
      <alignment horizontal="right" vertical="center"/>
    </xf>
    <xf numFmtId="0" fontId="30" fillId="0" borderId="14" pivotButton="0" quotePrefix="0" xfId="0"/>
    <xf numFmtId="0" fontId="30" fillId="0" borderId="15" pivotButton="0" quotePrefix="0" xfId="0"/>
    <xf numFmtId="4" fontId="33" fillId="11" borderId="3" applyAlignment="1" pivotButton="0" quotePrefix="0" xfId="0">
      <alignment horizontal="right" vertical="center"/>
    </xf>
    <xf numFmtId="3" fontId="33" fillId="11" borderId="3" applyAlignment="1" pivotButton="0" quotePrefix="0" xfId="0">
      <alignment horizontal="right" vertical="center"/>
    </xf>
    <xf numFmtId="166" fontId="15" fillId="11" borderId="3" applyAlignment="1" pivotButton="0" quotePrefix="0" xfId="0">
      <alignment horizontal="center" vertical="center"/>
    </xf>
    <xf numFmtId="0" fontId="34" fillId="5" borderId="7" applyAlignment="1" pivotButton="0" quotePrefix="0" xfId="0">
      <alignment horizontal="right" vertical="center"/>
    </xf>
    <xf numFmtId="4" fontId="34" fillId="5" borderId="2" applyAlignment="1" pivotButton="0" quotePrefix="0" xfId="0">
      <alignment horizontal="right" vertical="center"/>
    </xf>
    <xf numFmtId="3" fontId="34" fillId="5" borderId="2" applyAlignment="1" pivotButton="0" quotePrefix="0" xfId="0">
      <alignment horizontal="right" vertical="center"/>
    </xf>
    <xf numFmtId="0" fontId="14" fillId="5" borderId="2" pivotButton="0" quotePrefix="0" xfId="0"/>
    <xf numFmtId="0" fontId="26" fillId="2" borderId="10" applyAlignment="1" pivotButton="0" quotePrefix="0" xfId="0">
      <alignment horizontal="right" vertical="center"/>
    </xf>
    <xf numFmtId="0" fontId="7" fillId="24" borderId="7" applyAlignment="1" pivotButton="0" quotePrefix="0" xfId="0">
      <alignment horizontal="center" vertical="center"/>
    </xf>
    <xf numFmtId="0" fontId="22" fillId="25" borderId="4" applyAlignment="1" pivotButton="0" quotePrefix="0" xfId="0">
      <alignment horizontal="center" vertical="center"/>
    </xf>
    <xf numFmtId="165" fontId="10" fillId="9" borderId="2" applyAlignment="1" pivotButton="0" quotePrefix="0" xfId="0">
      <alignment horizontal="center" vertical="center"/>
    </xf>
    <xf numFmtId="0" fontId="35" fillId="9" borderId="7" applyAlignment="1" pivotButton="0" quotePrefix="0" xfId="0">
      <alignment horizontal="center" vertical="center"/>
    </xf>
    <xf numFmtId="3" fontId="10" fillId="9" borderId="2" applyAlignment="1" pivotButton="0" quotePrefix="0" xfId="0">
      <alignment horizontal="right" vertical="center"/>
    </xf>
    <xf numFmtId="165" fontId="10" fillId="10" borderId="2" applyAlignment="1" pivotButton="0" quotePrefix="0" xfId="0">
      <alignment horizontal="center" vertical="center"/>
    </xf>
    <xf numFmtId="0" fontId="35" fillId="10" borderId="7" applyAlignment="1" pivotButton="0" quotePrefix="0" xfId="0">
      <alignment horizontal="center" vertical="center"/>
    </xf>
    <xf numFmtId="3" fontId="10" fillId="10" borderId="2" applyAlignment="1" pivotButton="0" quotePrefix="0" xfId="0">
      <alignment horizontal="right" vertical="center"/>
    </xf>
    <xf numFmtId="165" fontId="10" fillId="13" borderId="2" applyAlignment="1" pivotButton="0" quotePrefix="0" xfId="0">
      <alignment horizontal="center" vertical="center"/>
    </xf>
    <xf numFmtId="0" fontId="35" fillId="13" borderId="7" applyAlignment="1" pivotButton="0" quotePrefix="0" xfId="0">
      <alignment horizontal="center" vertical="center"/>
    </xf>
    <xf numFmtId="3" fontId="10" fillId="13" borderId="2" applyAlignment="1" pivotButton="0" quotePrefix="0" xfId="0">
      <alignment horizontal="right" vertical="center"/>
    </xf>
    <xf numFmtId="165" fontId="10" fillId="15" borderId="2" applyAlignment="1" pivotButton="0" quotePrefix="0" xfId="0">
      <alignment horizontal="center" vertical="center"/>
    </xf>
    <xf numFmtId="0" fontId="35" fillId="15" borderId="7" applyAlignment="1" pivotButton="0" quotePrefix="0" xfId="0">
      <alignment horizontal="center" vertical="center"/>
    </xf>
    <xf numFmtId="3" fontId="10" fillId="15" borderId="2" applyAlignment="1" pivotButton="0" quotePrefix="0" xfId="0">
      <alignment horizontal="right" vertical="center"/>
    </xf>
    <xf numFmtId="165" fontId="10" fillId="16" borderId="2" applyAlignment="1" pivotButton="0" quotePrefix="0" xfId="0">
      <alignment horizontal="center" vertical="center"/>
    </xf>
    <xf numFmtId="0" fontId="35" fillId="16" borderId="7" applyAlignment="1" pivotButton="0" quotePrefix="0" xfId="0">
      <alignment horizontal="center" vertical="center"/>
    </xf>
    <xf numFmtId="3" fontId="10" fillId="16" borderId="2" applyAlignment="1" pivotButton="0" quotePrefix="0" xfId="0">
      <alignment horizontal="right" vertical="center"/>
    </xf>
    <xf numFmtId="165" fontId="10" fillId="17" borderId="2" applyAlignment="1" pivotButton="0" quotePrefix="0" xfId="0">
      <alignment horizontal="center" vertical="center"/>
    </xf>
    <xf numFmtId="0" fontId="35" fillId="17" borderId="7" applyAlignment="1" pivotButton="0" quotePrefix="0" xfId="0">
      <alignment horizontal="center" vertical="center"/>
    </xf>
    <xf numFmtId="3" fontId="10" fillId="17" borderId="2" applyAlignment="1" pivotButton="0" quotePrefix="0" xfId="0">
      <alignment horizontal="right" vertical="center"/>
    </xf>
    <xf numFmtId="165" fontId="10" fillId="18" borderId="2" applyAlignment="1" pivotButton="0" quotePrefix="0" xfId="0">
      <alignment horizontal="center" vertical="center"/>
    </xf>
    <xf numFmtId="0" fontId="35" fillId="18" borderId="7" applyAlignment="1" pivotButton="0" quotePrefix="0" xfId="0">
      <alignment horizontal="center" vertical="center"/>
    </xf>
    <xf numFmtId="3" fontId="10" fillId="18" borderId="2" applyAlignment="1" pivotButton="0" quotePrefix="0" xfId="0">
      <alignment horizontal="right" vertical="center"/>
    </xf>
    <xf numFmtId="165" fontId="10" fillId="19" borderId="2" applyAlignment="1" pivotButton="0" quotePrefix="0" xfId="0">
      <alignment horizontal="center" vertical="center"/>
    </xf>
    <xf numFmtId="0" fontId="35" fillId="19" borderId="7" applyAlignment="1" pivotButton="0" quotePrefix="0" xfId="0">
      <alignment horizontal="center" vertical="center"/>
    </xf>
    <xf numFmtId="3" fontId="10" fillId="19" borderId="2" applyAlignment="1" pivotButton="0" quotePrefix="0" xfId="0">
      <alignment horizontal="right" vertical="center"/>
    </xf>
    <xf numFmtId="165" fontId="10" fillId="20" borderId="2" applyAlignment="1" pivotButton="0" quotePrefix="0" xfId="0">
      <alignment horizontal="center" vertical="center"/>
    </xf>
    <xf numFmtId="0" fontId="35" fillId="20" borderId="7" applyAlignment="1" pivotButton="0" quotePrefix="0" xfId="0">
      <alignment horizontal="center" vertical="center"/>
    </xf>
    <xf numFmtId="3" fontId="10" fillId="20" borderId="2" applyAlignment="1" pivotButton="0" quotePrefix="0" xfId="0">
      <alignment horizontal="right" vertical="center"/>
    </xf>
    <xf numFmtId="165" fontId="10" fillId="21" borderId="2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3" fontId="10" fillId="21" borderId="2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0" fontId="7" fillId="24" borderId="2" applyAlignment="1" pivotButton="0" quotePrefix="0" xfId="0">
      <alignment horizontal="left" vertical="center"/>
    </xf>
    <xf numFmtId="0" fontId="15" fillId="13" borderId="2" applyAlignment="1" pivotButton="0" quotePrefix="0" xfId="0">
      <alignment horizontal="center" vertical="center"/>
    </xf>
    <xf numFmtId="4" fontId="36" fillId="5" borderId="2" applyAlignment="1" pivotButton="0" quotePrefix="0" xfId="0">
      <alignment horizontal="right" vertical="center"/>
    </xf>
    <xf numFmtId="4" fontId="15" fillId="7" borderId="2" applyAlignment="1" pivotButton="0" quotePrefix="0" xfId="0">
      <alignment horizontal="right" vertical="center"/>
    </xf>
    <xf numFmtId="0" fontId="15" fillId="15" borderId="2" applyAlignment="1" pivotButton="0" quotePrefix="0" xfId="0">
      <alignment horizontal="center" vertical="center"/>
    </xf>
    <xf numFmtId="0" fontId="15" fillId="16" borderId="2" applyAlignment="1" pivotButton="0" quotePrefix="0" xfId="0">
      <alignment horizontal="center" vertical="center"/>
    </xf>
    <xf numFmtId="0" fontId="15" fillId="17" borderId="2" applyAlignment="1" pivotButton="0" quotePrefix="0" xfId="0">
      <alignment horizontal="center" vertical="center"/>
    </xf>
    <xf numFmtId="0" fontId="15" fillId="18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5" fillId="19" borderId="2" applyAlignment="1" pivotButton="0" quotePrefix="0" xfId="0">
      <alignment horizontal="center" vertical="center"/>
    </xf>
    <xf numFmtId="0" fontId="15" fillId="21" borderId="2" applyAlignment="1" pivotButton="0" quotePrefix="0" xfId="0">
      <alignment horizontal="center" vertical="center"/>
    </xf>
    <xf numFmtId="0" fontId="15" fillId="20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4" borderId="7" applyAlignment="1" pivotButton="0" quotePrefix="0" xfId="0">
      <alignment horizontal="center" vertical="center"/>
    </xf>
    <xf numFmtId="3" fontId="3" fillId="4" borderId="2" applyAlignment="1" pivotButton="0" quotePrefix="0" xfId="0">
      <alignment horizontal="right" vertical="center"/>
    </xf>
    <xf numFmtId="3" fontId="7" fillId="4" borderId="2" applyAlignment="1" pivotButton="0" quotePrefix="0" xfId="0">
      <alignment horizontal="right" vertical="center"/>
    </xf>
    <xf numFmtId="0" fontId="15" fillId="26" borderId="2" applyAlignment="1" pivotButton="0" quotePrefix="0" xfId="0">
      <alignment horizontal="center" vertical="center"/>
    </xf>
    <xf numFmtId="0" fontId="37" fillId="26" borderId="7" applyAlignment="1" pivotButton="0" quotePrefix="0" xfId="0">
      <alignment horizontal="left" vertical="center"/>
    </xf>
    <xf numFmtId="0" fontId="11" fillId="26" borderId="2" applyAlignment="1" pivotButton="0" quotePrefix="0" xfId="0">
      <alignment horizontal="center" vertical="center"/>
    </xf>
    <xf numFmtId="3" fontId="15" fillId="26" borderId="2" applyAlignment="1" pivotButton="0" quotePrefix="0" xfId="0">
      <alignment horizontal="right" vertical="center"/>
    </xf>
    <xf numFmtId="0" fontId="38" fillId="26" borderId="7" applyAlignment="1" pivotButton="0" quotePrefix="0" xfId="0">
      <alignment horizontal="left" vertical="center"/>
    </xf>
    <xf numFmtId="0" fontId="37" fillId="10" borderId="7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39" fillId="10" borderId="2" applyAlignment="1" pivotButton="0" quotePrefix="0" xfId="0">
      <alignment horizontal="right" vertical="center"/>
    </xf>
    <xf numFmtId="0" fontId="39" fillId="7" borderId="2" applyAlignment="1" pivotButton="0" quotePrefix="0" xfId="0">
      <alignment horizontal="right" vertical="center"/>
    </xf>
    <xf numFmtId="0" fontId="38" fillId="10" borderId="7" applyAlignment="1" pivotButton="0" quotePrefix="0" xfId="0">
      <alignment horizontal="left" vertical="center"/>
    </xf>
    <xf numFmtId="0" fontId="15" fillId="11" borderId="16" applyAlignment="1" pivotButton="0" quotePrefix="0" xfId="0">
      <alignment horizontal="center" vertical="center"/>
    </xf>
    <xf numFmtId="0" fontId="37" fillId="11" borderId="17" applyAlignment="1" pivotButton="0" quotePrefix="0" xfId="0">
      <alignment horizontal="center" vertical="center"/>
    </xf>
    <xf numFmtId="0" fontId="30" fillId="0" borderId="18" pivotButton="0" quotePrefix="0" xfId="0"/>
    <xf numFmtId="0" fontId="30" fillId="0" borderId="19" pivotButton="0" quotePrefix="0" xfId="0"/>
    <xf numFmtId="3" fontId="15" fillId="11" borderId="16" applyAlignment="1" pivotButton="0" quotePrefix="0" xfId="0">
      <alignment horizontal="right" vertical="center"/>
    </xf>
    <xf numFmtId="4" fontId="13" fillId="7" borderId="16" applyAlignment="1" pivotButton="0" quotePrefix="0" xfId="0">
      <alignment horizontal="right" vertical="center"/>
    </xf>
    <xf numFmtId="0" fontId="14" fillId="11" borderId="17" pivotButton="0" quotePrefix="0" xfId="0"/>
    <xf numFmtId="0" fontId="7" fillId="27" borderId="2" applyAlignment="1" pivotButton="0" quotePrefix="0" xfId="0">
      <alignment horizontal="right" vertical="center"/>
    </xf>
    <xf numFmtId="1" fontId="10" fillId="25" borderId="2" applyAlignment="1" pivotButton="0" quotePrefix="0" xfId="0">
      <alignment horizontal="center" vertical="center"/>
    </xf>
    <xf numFmtId="165" fontId="10" fillId="25" borderId="2" applyAlignment="1" pivotButton="0" quotePrefix="0" xfId="0">
      <alignment horizontal="center" vertical="center"/>
    </xf>
    <xf numFmtId="3" fontId="10" fillId="25" borderId="2" applyAlignment="1" pivotButton="0" quotePrefix="0" xfId="0">
      <alignment horizontal="right" vertical="center"/>
    </xf>
    <xf numFmtId="3" fontId="39" fillId="25" borderId="2" applyAlignment="1" pivotButton="0" quotePrefix="0" xfId="0">
      <alignment horizontal="right" vertical="center"/>
    </xf>
    <xf numFmtId="3" fontId="15" fillId="7" borderId="2" applyAlignment="1" pivotButton="0" quotePrefix="0" xfId="0">
      <alignment horizontal="right" vertical="center"/>
    </xf>
    <xf numFmtId="0" fontId="40" fillId="25" borderId="2" applyAlignment="1" pivotButton="0" quotePrefix="0" xfId="0">
      <alignment horizontal="center" vertical="center"/>
    </xf>
    <xf numFmtId="0" fontId="37" fillId="25" borderId="2" applyAlignment="1" pivotButton="0" quotePrefix="0" xfId="0">
      <alignment horizontal="left" vertical="center"/>
    </xf>
    <xf numFmtId="165" fontId="10" fillId="25" borderId="2" applyAlignment="1" pivotButton="0" quotePrefix="0" xfId="0">
      <alignment horizontal="center" vertical="center"/>
    </xf>
    <xf numFmtId="0" fontId="14" fillId="28" borderId="2" applyAlignment="1" pivotButton="0" quotePrefix="0" xfId="0">
      <alignment horizontal="right" vertical="center"/>
    </xf>
    <xf numFmtId="3" fontId="15" fillId="7" borderId="2" applyAlignment="1" pivotButton="0" quotePrefix="0" xfId="0">
      <alignment horizontal="right" vertical="center"/>
    </xf>
    <xf numFmtId="0" fontId="14" fillId="28" borderId="2" applyAlignment="1" pivotButton="0" quotePrefix="0" xfId="0">
      <alignment horizontal="center" vertical="center"/>
    </xf>
    <xf numFmtId="0" fontId="14" fillId="28" borderId="2" applyAlignment="1" pivotButton="0" quotePrefix="0" xfId="0">
      <alignment horizontal="left" vertical="center"/>
    </xf>
    <xf numFmtId="0" fontId="14" fillId="25" borderId="2" applyAlignment="1" pivotButton="0" quotePrefix="0" xfId="0">
      <alignment horizontal="center" vertical="center"/>
    </xf>
    <xf numFmtId="0" fontId="14" fillId="25" borderId="2" applyAlignment="1" pivotButton="0" quotePrefix="0" xfId="0">
      <alignment horizontal="right" vertical="center"/>
    </xf>
    <xf numFmtId="0" fontId="14" fillId="7" borderId="2" applyAlignment="1" pivotButton="0" quotePrefix="0" xfId="0">
      <alignment horizontal="right" vertical="center"/>
    </xf>
    <xf numFmtId="0" fontId="14" fillId="25" borderId="2" applyAlignment="1" pivotButton="0" quotePrefix="0" xfId="0">
      <alignment horizontal="left" vertical="center"/>
    </xf>
    <xf numFmtId="0" fontId="41" fillId="12" borderId="4" applyAlignment="1" pivotButton="0" quotePrefix="0" xfId="0">
      <alignment horizontal="left" vertical="center"/>
    </xf>
    <xf numFmtId="0" fontId="0" fillId="0" borderId="0" pivotButton="0" quotePrefix="0" xfId="0"/>
    <xf numFmtId="0" fontId="42" fillId="29" borderId="1" applyAlignment="1" pivotButton="0" quotePrefix="0" xfId="0">
      <alignment horizontal="center" vertical="center"/>
    </xf>
    <xf numFmtId="0" fontId="43" fillId="0" borderId="0" pivotButton="0" quotePrefix="0" xfId="0"/>
    <xf numFmtId="0" fontId="29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26" fillId="3" borderId="1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0" fillId="7" borderId="2" applyAlignment="1" pivotButton="0" quotePrefix="0" xfId="0">
      <alignment horizontal="left" vertical="center"/>
    </xf>
    <xf numFmtId="0" fontId="14" fillId="11" borderId="3" pivotButton="0" quotePrefix="0" xfId="0"/>
    <xf numFmtId="0" fontId="0" fillId="0" borderId="11" pivotButton="0" quotePrefix="0" xfId="0"/>
    <xf numFmtId="0" fontId="0" fillId="0" borderId="12" pivotButton="0" quotePrefix="0" xfId="0"/>
    <xf numFmtId="0" fontId="15" fillId="13" borderId="2" applyAlignment="1" pivotButton="0" quotePrefix="0" xfId="0">
      <alignment horizontal="left" vertical="center"/>
    </xf>
    <xf numFmtId="0" fontId="15" fillId="15" borderId="2" applyAlignment="1" pivotButton="0" quotePrefix="0" xfId="0">
      <alignment horizontal="left" vertical="center"/>
    </xf>
    <xf numFmtId="0" fontId="15" fillId="16" borderId="2" applyAlignment="1" pivotButton="0" quotePrefix="0" xfId="0">
      <alignment horizontal="left" vertical="center"/>
    </xf>
    <xf numFmtId="0" fontId="15" fillId="17" borderId="2" applyAlignment="1" pivotButton="0" quotePrefix="0" xfId="0">
      <alignment horizontal="left" vertical="center"/>
    </xf>
    <xf numFmtId="0" fontId="15" fillId="18" borderId="2" applyAlignment="1" pivotButton="0" quotePrefix="0" xfId="0">
      <alignment horizontal="left" vertical="center"/>
    </xf>
    <xf numFmtId="0" fontId="15" fillId="10" borderId="2" applyAlignment="1" pivotButton="0" quotePrefix="0" xfId="0">
      <alignment horizontal="left" vertical="center"/>
    </xf>
    <xf numFmtId="0" fontId="15" fillId="19" borderId="2" applyAlignment="1" pivotButton="0" quotePrefix="0" xfId="0">
      <alignment horizontal="left" vertical="center"/>
    </xf>
    <xf numFmtId="0" fontId="15" fillId="21" borderId="2" applyAlignment="1" pivotButton="0" quotePrefix="0" xfId="0">
      <alignment horizontal="left" vertical="center"/>
    </xf>
    <xf numFmtId="0" fontId="15" fillId="20" borderId="2" applyAlignment="1" pivotButton="0" quotePrefix="0" xfId="0">
      <alignment horizontal="left" vertical="center"/>
    </xf>
    <xf numFmtId="0" fontId="31" fillId="9" borderId="2" pivotButton="0" quotePrefix="0" xfId="0"/>
    <xf numFmtId="0" fontId="32" fillId="11" borderId="24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0" fontId="34" fillId="5" borderId="2" applyAlignment="1" pivotButton="0" quotePrefix="0" xfId="0">
      <alignment horizontal="right" vertical="center"/>
    </xf>
    <xf numFmtId="0" fontId="26" fillId="2" borderId="3" applyAlignment="1" pivotButton="0" quotePrefix="0" xfId="0">
      <alignment horizontal="right" vertical="center"/>
    </xf>
    <xf numFmtId="0" fontId="22" fillId="25" borderId="1" applyAlignment="1" pivotButton="0" quotePrefix="0" xfId="0">
      <alignment horizontal="center" vertical="center"/>
    </xf>
    <xf numFmtId="0" fontId="35" fillId="9" borderId="2" applyAlignment="1" pivotButton="0" quotePrefix="0" xfId="0">
      <alignment horizontal="center" vertical="center"/>
    </xf>
    <xf numFmtId="0" fontId="35" fillId="10" borderId="2" applyAlignment="1" pivotButton="0" quotePrefix="0" xfId="0">
      <alignment horizontal="center" vertical="center"/>
    </xf>
    <xf numFmtId="0" fontId="35" fillId="13" borderId="2" applyAlignment="1" pivotButton="0" quotePrefix="0" xfId="0">
      <alignment horizontal="center" vertical="center"/>
    </xf>
    <xf numFmtId="0" fontId="35" fillId="15" borderId="2" applyAlignment="1" pivotButton="0" quotePrefix="0" xfId="0">
      <alignment horizontal="center" vertical="center"/>
    </xf>
    <xf numFmtId="0" fontId="35" fillId="16" borderId="2" applyAlignment="1" pivotButton="0" quotePrefix="0" xfId="0">
      <alignment horizontal="center" vertical="center"/>
    </xf>
    <xf numFmtId="0" fontId="35" fillId="17" borderId="2" applyAlignment="1" pivotButton="0" quotePrefix="0" xfId="0">
      <alignment horizontal="center" vertical="center"/>
    </xf>
    <xf numFmtId="0" fontId="35" fillId="18" borderId="2" applyAlignment="1" pivotButton="0" quotePrefix="0" xfId="0">
      <alignment horizontal="center" vertical="center"/>
    </xf>
    <xf numFmtId="0" fontId="35" fillId="19" borderId="2" applyAlignment="1" pivotButton="0" quotePrefix="0" xfId="0">
      <alignment horizontal="center" vertical="center"/>
    </xf>
    <xf numFmtId="0" fontId="35" fillId="20" borderId="2" applyAlignment="1" pivotButton="0" quotePrefix="0" xfId="0">
      <alignment horizontal="center" vertical="center"/>
    </xf>
    <xf numFmtId="0" fontId="35" fillId="21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37" fillId="26" borderId="2" applyAlignment="1" pivotButton="0" quotePrefix="0" xfId="0">
      <alignment horizontal="left" vertical="center"/>
    </xf>
    <xf numFmtId="0" fontId="38" fillId="26" borderId="2" applyAlignment="1" pivotButton="0" quotePrefix="0" xfId="0">
      <alignment horizontal="left" vertical="center"/>
    </xf>
    <xf numFmtId="0" fontId="37" fillId="10" borderId="2" applyAlignment="1" pivotButton="0" quotePrefix="0" xfId="0">
      <alignment horizontal="left" vertical="center"/>
    </xf>
    <xf numFmtId="0" fontId="38" fillId="10" borderId="2" applyAlignment="1" pivotButton="0" quotePrefix="0" xfId="0">
      <alignment horizontal="left" vertical="center"/>
    </xf>
    <xf numFmtId="0" fontId="37" fillId="11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  <xf numFmtId="0" fontId="14" fillId="11" borderId="16" pivotButton="0" quotePrefix="0" xfId="0"/>
    <xf numFmtId="0" fontId="41" fillId="12" borderId="1" applyAlignment="1" pivotButton="0" quotePrefix="0" xfId="0">
      <alignment horizontal="left" vertical="center"/>
    </xf>
    <xf numFmtId="0" fontId="44" fillId="30" borderId="1" applyAlignment="1" pivotButton="0" quotePrefix="0" xfId="0">
      <alignment horizontal="center" wrapText="1"/>
    </xf>
    <xf numFmtId="0" fontId="45" fillId="29" borderId="0" pivotButton="0" quotePrefix="0" xfId="0"/>
    <xf numFmtId="0" fontId="43" fillId="31" borderId="0" pivotButton="0" quotePrefix="0" xfId="0"/>
    <xf numFmtId="4" fontId="2" fillId="32" borderId="0" pivotButton="0" quotePrefix="0" xfId="0"/>
    <xf numFmtId="165" fontId="10" fillId="0" borderId="26" applyAlignment="1" pivotButton="0" quotePrefix="0" xfId="0">
      <alignment horizontal="center" vertical="center"/>
    </xf>
    <xf numFmtId="4" fontId="13" fillId="0" borderId="26" applyAlignment="1" pivotButton="0" quotePrefix="0" xfId="0">
      <alignment horizontal="right" vertical="center"/>
    </xf>
    <xf numFmtId="3" fontId="13" fillId="0" borderId="26" applyAlignment="1" pivotButton="0" quotePrefix="0" xfId="0">
      <alignment horizontal="right" vertical="center"/>
    </xf>
    <xf numFmtId="0" fontId="10" fillId="0" borderId="26" applyAlignment="1" pivotButton="0" quotePrefix="0" xfId="0">
      <alignment horizontal="left" vertical="center"/>
    </xf>
    <xf numFmtId="0" fontId="0" fillId="0" borderId="26" pivotButton="0" quotePrefix="0" xfId="0"/>
    <xf numFmtId="0" fontId="2" fillId="0" borderId="26" pivotButton="0" quotePrefix="0" xfId="0"/>
    <xf numFmtId="0" fontId="23" fillId="0" borderId="26" applyAlignment="1" pivotButton="0" quotePrefix="0" xfId="0">
      <alignment horizontal="center" vertical="center"/>
    </xf>
    <xf numFmtId="4" fontId="23" fillId="0" borderId="26" applyAlignment="1" pivotButton="0" quotePrefix="0" xfId="0">
      <alignment horizontal="right" vertical="center"/>
    </xf>
    <xf numFmtId="3" fontId="23" fillId="0" borderId="26" applyAlignment="1" pivotButton="0" quotePrefix="0" xfId="0">
      <alignment horizontal="right" vertical="center"/>
    </xf>
    <xf numFmtId="0" fontId="14" fillId="0" borderId="26" pivotButton="0" quotePrefix="0" xfId="0"/>
    <xf numFmtId="0" fontId="26" fillId="0" borderId="2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26" applyAlignment="1" pivotButton="0" quotePrefix="0" xfId="0">
      <alignment horizontal="center" vertical="center"/>
    </xf>
    <xf numFmtId="0" fontId="7" fillId="0" borderId="26" applyAlignment="1" pivotButton="0" quotePrefix="0" xfId="0">
      <alignment horizontal="right" vertical="center"/>
    </xf>
    <xf numFmtId="0" fontId="15" fillId="0" borderId="26" applyAlignment="1" pivotButton="0" quotePrefix="0" xfId="0">
      <alignment horizontal="left" vertical="center"/>
    </xf>
    <xf numFmtId="0" fontId="11" fillId="0" borderId="26" applyAlignment="1" pivotButton="0" quotePrefix="0" xfId="0">
      <alignment horizontal="left" vertical="center"/>
    </xf>
    <xf numFmtId="0" fontId="12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4" fontId="15" fillId="0" borderId="26" applyAlignment="1" pivotButton="0" quotePrefix="0" xfId="0">
      <alignment horizontal="right" vertical="center"/>
    </xf>
    <xf numFmtId="3" fontId="15" fillId="0" borderId="26" applyAlignment="1" pivotButton="0" quotePrefix="0" xfId="0">
      <alignment horizontal="right" vertical="center"/>
    </xf>
    <xf numFmtId="166" fontId="10" fillId="0" borderId="26" applyAlignment="1" pivotButton="0" quotePrefix="0" xfId="0">
      <alignment horizontal="center" vertical="center"/>
    </xf>
    <xf numFmtId="0" fontId="31" fillId="0" borderId="26" pivotButton="0" quotePrefix="0" xfId="0"/>
    <xf numFmtId="0" fontId="32" fillId="0" borderId="26" applyAlignment="1" pivotButton="0" quotePrefix="0" xfId="0">
      <alignment horizontal="right" vertical="center"/>
    </xf>
    <xf numFmtId="4" fontId="33" fillId="0" borderId="26" applyAlignment="1" pivotButton="0" quotePrefix="0" xfId="0">
      <alignment horizontal="right" vertical="center"/>
    </xf>
    <xf numFmtId="3" fontId="33" fillId="0" borderId="26" applyAlignment="1" pivotButton="0" quotePrefix="0" xfId="0">
      <alignment horizontal="right" vertical="center"/>
    </xf>
    <xf numFmtId="166" fontId="15" fillId="0" borderId="26" applyAlignment="1" pivotButton="0" quotePrefix="0" xfId="0">
      <alignment horizontal="center" vertical="center"/>
    </xf>
    <xf numFmtId="0" fontId="34" fillId="0" borderId="26" applyAlignment="1" pivotButton="0" quotePrefix="0" xfId="0">
      <alignment horizontal="right" vertical="center"/>
    </xf>
    <xf numFmtId="4" fontId="34" fillId="0" borderId="26" applyAlignment="1" pivotButton="0" quotePrefix="0" xfId="0">
      <alignment horizontal="right" vertical="center"/>
    </xf>
    <xf numFmtId="3" fontId="34" fillId="0" borderId="26" applyAlignment="1" pivotButton="0" quotePrefix="0" xfId="0">
      <alignment horizontal="right" vertical="center"/>
    </xf>
    <xf numFmtId="0" fontId="26" fillId="0" borderId="26" applyAlignment="1" pivotButton="0" quotePrefix="0" xfId="0">
      <alignment horizontal="right" vertical="center"/>
    </xf>
    <xf numFmtId="4" fontId="5" fillId="0" borderId="26" applyAlignment="1" pivotButton="0" quotePrefix="0" xfId="0">
      <alignment horizontal="right" vertical="center"/>
    </xf>
    <xf numFmtId="3" fontId="5" fillId="0" borderId="26" applyAlignment="1" pivotButton="0" quotePrefix="0" xfId="0">
      <alignment horizontal="right" vertical="center"/>
    </xf>
    <xf numFmtId="0" fontId="22" fillId="0" borderId="26" applyAlignment="1" pivotButton="0" quotePrefix="0" xfId="0">
      <alignment horizontal="center" vertical="center"/>
    </xf>
    <xf numFmtId="0" fontId="35" fillId="0" borderId="26" applyAlignment="1" pivotButton="0" quotePrefix="0" xfId="0">
      <alignment horizontal="center" vertical="center"/>
    </xf>
    <xf numFmtId="4" fontId="10" fillId="0" borderId="26" applyAlignment="1" pivotButton="0" quotePrefix="0" xfId="0">
      <alignment horizontal="right" vertical="center"/>
    </xf>
    <xf numFmtId="3" fontId="10" fillId="0" borderId="26" applyAlignment="1" pivotButton="0" quotePrefix="0" xfId="0">
      <alignment horizontal="right" vertical="center"/>
    </xf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1" customWidth="1" style="338" min="1" max="1"/>
    <col width="13" customWidth="1" style="338" min="2" max="2"/>
    <col width="38" customWidth="1" style="338" min="3" max="3"/>
    <col width="10" customWidth="1" style="338" min="4" max="4"/>
    <col width="11" customWidth="1" style="338" min="5" max="5"/>
    <col width="10" customWidth="1" style="338" min="6" max="6"/>
    <col width="11" customWidth="1" style="338" min="7" max="8"/>
    <col width="12" customWidth="1" style="338" min="9" max="10"/>
    <col width="13" customWidth="1" style="338" min="11" max="11"/>
    <col width="8" customWidth="1" style="338" min="12" max="15"/>
    <col width="25" customWidth="1" style="338" min="15" max="15"/>
    <col width="15" customWidth="1" style="338" min="16" max="16"/>
  </cols>
  <sheetData>
    <row r="1" ht="25.5" customHeight="1" s="338">
      <c r="A1" s="1" t="inlineStr">
        <is>
          <t>YS 使用明細 — 錢包流水帳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匯率設定</t>
        </is>
      </c>
      <c r="N1" s="4" t="inlineStr">
        <is>
          <t>1 USDT =</t>
        </is>
      </c>
      <c r="O1" s="387" t="inlineStr">
        <is>
          <t>【新增費用記錄】</t>
        </is>
      </c>
      <c r="P1" s="6" t="inlineStr">
        <is>
          <t>TWD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9.5" customHeight="1" s="338">
      <c r="A2" s="7" t="inlineStr">
        <is>
          <t>日期</t>
        </is>
      </c>
      <c r="B2" s="7" t="inlineStr">
        <is>
          <t>分類</t>
        </is>
      </c>
      <c r="C2" s="8" t="inlineStr">
        <is>
          <t>說明</t>
        </is>
      </c>
      <c r="D2" s="7" t="inlineStr">
        <is>
          <t>費用性質</t>
        </is>
      </c>
      <c r="E2" s="7" t="inlineStr">
        <is>
          <t>儲值(U)</t>
        </is>
      </c>
      <c r="F2" s="7" t="inlineStr">
        <is>
          <t>Topup Fee</t>
        </is>
      </c>
      <c r="G2" s="7" t="inlineStr">
        <is>
          <t>支出(U)</t>
        </is>
      </c>
      <c r="H2" s="7" t="inlineStr">
        <is>
          <t>餘額(U)</t>
        </is>
      </c>
      <c r="I2" s="9" t="inlineStr">
        <is>
          <t>儲值(TWD)</t>
        </is>
      </c>
      <c r="J2" s="9" t="inlineStr">
        <is>
          <t>支出(TWD)</t>
        </is>
      </c>
      <c r="K2" s="9" t="inlineStr">
        <is>
          <t>餘額(TWD)</t>
        </is>
      </c>
      <c r="L2" s="7" t="inlineStr">
        <is>
          <t>確認</t>
        </is>
      </c>
      <c r="M2" s="2" t="n"/>
      <c r="N2" s="2" t="n"/>
      <c r="O2" s="388" t="inlineStr">
        <is>
          <t>使用步驟：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338">
      <c r="A3" s="10" t="inlineStr">
        <is>
          <t>◀ 2025年 11月 ▶</t>
        </is>
      </c>
      <c r="B3" s="2" t="n"/>
      <c r="C3" s="2" t="n"/>
      <c r="D3" s="2" t="n"/>
      <c r="E3" s="2" t="n"/>
      <c r="F3" s="2" t="n"/>
      <c r="G3" s="2" t="n"/>
      <c r="H3" s="11">
        <f>E3-F3-G3</f>
        <v/>
      </c>
      <c r="I3" s="11">
        <f>E3*32</f>
        <v/>
      </c>
      <c r="J3" s="11">
        <f>G3*32</f>
        <v/>
      </c>
      <c r="K3" s="11">
        <f>I3-J3</f>
        <v/>
      </c>
      <c r="L3" s="2" t="n"/>
      <c r="M3" s="2" t="n"/>
      <c r="N3" s="2" t="n"/>
      <c r="O3" s="2" t="inlineStr">
        <is>
          <t>1️⃣ 複製第3列（模板列）</t>
        </is>
      </c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338">
      <c r="A4" s="12" t="n">
        <v>45979</v>
      </c>
      <c r="B4" s="13" t="n"/>
      <c r="C4" s="14" t="inlineStr">
        <is>
          <t>儲U</t>
        </is>
      </c>
      <c r="D4" s="15" t="inlineStr">
        <is>
          <t>儲值</t>
        </is>
      </c>
      <c r="E4" s="16" t="n">
        <v>1000</v>
      </c>
      <c r="F4" s="17" t="n"/>
      <c r="G4" s="18" t="n"/>
      <c r="H4" s="19">
        <f>H3+E4-F4-G4</f>
        <v/>
      </c>
      <c r="I4" s="20">
        <f>E4*32</f>
        <v/>
      </c>
      <c r="J4" s="21">
        <f>G4*32</f>
        <v/>
      </c>
      <c r="K4" s="22">
        <f>K3+I4-J4</f>
        <v/>
      </c>
      <c r="L4" s="23" t="inlineStr">
        <is>
          <t>v</t>
        </is>
      </c>
      <c r="M4" s="2" t="n"/>
      <c r="N4" s="2" t="n"/>
      <c r="O4" s="2" t="inlineStr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338">
      <c r="A5" s="24" t="n">
        <v>45979</v>
      </c>
      <c r="B5" s="25" t="inlineStr">
        <is>
          <t>開卡費</t>
        </is>
      </c>
      <c r="C5" s="26" t="inlineStr">
        <is>
          <t>開卡費</t>
        </is>
      </c>
      <c r="D5" s="233" t="inlineStr">
        <is>
          <t>一次性</t>
        </is>
      </c>
      <c r="E5" s="28" t="n"/>
      <c r="F5" s="29" t="n"/>
      <c r="G5" s="30" t="n">
        <v>12.35</v>
      </c>
      <c r="H5" s="235">
        <f>H4+E5-F5-G5</f>
        <v/>
      </c>
      <c r="I5" s="32">
        <f>E5*32</f>
        <v/>
      </c>
      <c r="J5" s="21">
        <f>G5*32</f>
        <v/>
      </c>
      <c r="K5" s="22">
        <f>K4+I5-J5</f>
        <v/>
      </c>
      <c r="L5" s="33" t="inlineStr">
        <is>
          <t>v</t>
        </is>
      </c>
      <c r="M5" s="2" t="n"/>
      <c r="N5" s="2" t="n"/>
      <c r="O5" s="2" t="inlineStr">
        <is>
          <t>2️⃣ 貼到新的空白列</t>
        </is>
      </c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338">
      <c r="A6" s="34" t="n">
        <v>45980</v>
      </c>
      <c r="B6" s="35" t="inlineStr">
        <is>
          <t>網域/域名</t>
        </is>
      </c>
      <c r="C6" s="138" t="inlineStr">
        <is>
          <t>購買網域YS89.com</t>
        </is>
      </c>
      <c r="D6" s="37" t="inlineStr">
        <is>
          <t>一次性</t>
        </is>
      </c>
      <c r="E6" s="38" t="n"/>
      <c r="F6" s="39" t="n"/>
      <c r="G6" s="139" t="n">
        <v>795.04</v>
      </c>
      <c r="H6" s="41">
        <f>H5+E6-F6-G6</f>
        <v/>
      </c>
      <c r="I6" s="32">
        <f>E6*32</f>
        <v/>
      </c>
      <c r="J6" s="21">
        <f>G6*32</f>
        <v/>
      </c>
      <c r="K6" s="22">
        <f>K5+I6-J6</f>
        <v/>
      </c>
      <c r="L6" s="42" t="inlineStr">
        <is>
          <t>v</t>
        </is>
      </c>
      <c r="M6" s="2" t="n"/>
      <c r="N6" s="2" t="n"/>
      <c r="O6" s="2" t="inlineStr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338">
      <c r="A7" s="43" t="n">
        <v>45981</v>
      </c>
      <c r="B7" s="44" t="inlineStr">
        <is>
          <t>平台手續費</t>
        </is>
      </c>
      <c r="C7" s="45" t="inlineStr">
        <is>
          <t>平台手續費（Topup / Transaction）</t>
        </is>
      </c>
      <c r="D7" s="46" t="inlineStr">
        <is>
          <t>變動</t>
        </is>
      </c>
      <c r="E7" s="47" t="n"/>
      <c r="F7" s="48" t="n"/>
      <c r="G7" s="49" t="n">
        <v>27.14</v>
      </c>
      <c r="H7" s="41">
        <f>H6+E7-F7-G7</f>
        <v/>
      </c>
      <c r="I7" s="32">
        <f>E7*32</f>
        <v/>
      </c>
      <c r="J7" s="50">
        <f>G7*32</f>
        <v/>
      </c>
      <c r="K7" s="22">
        <f>K6+I7-J7</f>
        <v/>
      </c>
      <c r="L7" s="51" t="inlineStr">
        <is>
          <t>v</t>
        </is>
      </c>
      <c r="M7" s="2" t="n"/>
      <c r="N7" s="2" t="n"/>
      <c r="O7" s="2" t="inlineStr">
        <is>
          <t>3️⃣ 編輯以下欄位：</t>
        </is>
      </c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338">
      <c r="A8" s="52" t="n">
        <v>45989</v>
      </c>
      <c r="B8" s="53" t="inlineStr">
        <is>
          <t>Cursor</t>
        </is>
      </c>
      <c r="C8" s="54" t="inlineStr">
        <is>
          <t>Cursor Pro 月費</t>
        </is>
      </c>
      <c r="D8" s="55" t="inlineStr">
        <is>
          <t>變動</t>
        </is>
      </c>
      <c r="E8" s="56" t="n"/>
      <c r="F8" s="57" t="n"/>
      <c r="G8" s="58" t="n">
        <v>21.4</v>
      </c>
      <c r="H8" s="41">
        <f>H7+E8-F8-G8</f>
        <v/>
      </c>
      <c r="I8" s="32">
        <f>E8*32</f>
        <v/>
      </c>
      <c r="J8" s="21">
        <f>G8*32</f>
        <v/>
      </c>
      <c r="K8" s="22">
        <f>K7+I8-J8</f>
        <v/>
      </c>
      <c r="L8" s="59" t="inlineStr">
        <is>
          <t>v</t>
        </is>
      </c>
      <c r="M8" s="2" t="n"/>
      <c r="N8" s="2" t="n"/>
      <c r="O8" s="340" t="inlineStr">
        <is>
          <t xml:space="preserve">  • A欄：日期</t>
        </is>
      </c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338">
      <c r="A9" s="43" t="n">
        <v>45989</v>
      </c>
      <c r="B9" s="44" t="inlineStr">
        <is>
          <t>平台手續費</t>
        </is>
      </c>
      <c r="C9" s="45" t="inlineStr">
        <is>
          <t>平台手續費（Topup / Transaction）</t>
        </is>
      </c>
      <c r="D9" s="46" t="inlineStr">
        <is>
          <t>變動</t>
        </is>
      </c>
      <c r="E9" s="47" t="n"/>
      <c r="F9" s="48" t="n"/>
      <c r="G9" s="49" t="n">
        <v>0.4</v>
      </c>
      <c r="H9" s="41">
        <f>H8+E9-F9-G9</f>
        <v/>
      </c>
      <c r="I9" s="32">
        <f>E9*32</f>
        <v/>
      </c>
      <c r="J9" s="50">
        <f>G9*32</f>
        <v/>
      </c>
      <c r="K9" s="22">
        <f>K8+I9-J9</f>
        <v/>
      </c>
      <c r="L9" s="51" t="inlineStr">
        <is>
          <t>v</t>
        </is>
      </c>
      <c r="M9" s="2" t="n"/>
      <c r="N9" s="2" t="n"/>
      <c r="O9" s="2" t="inlineStr">
        <is>
          <t xml:space="preserve">  • B欄：分類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338">
      <c r="A10" s="60" t="inlineStr">
        <is>
          <t>── 2025年11月 小計 ──</t>
        </is>
      </c>
      <c r="B10" s="2" t="n"/>
      <c r="C10" s="2" t="n"/>
      <c r="D10" s="2" t="n"/>
      <c r="E10" s="61" t="n">
        <v>1000</v>
      </c>
      <c r="F10" s="62" t="n">
        <v>27.54</v>
      </c>
      <c r="G10" s="61" t="n">
        <v>828.79</v>
      </c>
      <c r="H10" s="63">
        <f>H9+E10-F10-G10</f>
        <v/>
      </c>
      <c r="I10" s="64">
        <f>E10*32</f>
        <v/>
      </c>
      <c r="J10" s="64">
        <f>G10*32</f>
        <v/>
      </c>
      <c r="K10" s="65">
        <f>K9+I10-J10</f>
        <v/>
      </c>
      <c r="L10" s="66" t="n"/>
      <c r="M10" s="2" t="n"/>
      <c r="N10" s="2" t="n"/>
      <c r="O10" s="2" t="inlineStr">
        <is>
          <t xml:space="preserve">  • C欄：說明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2.75" customHeight="1" s="338">
      <c r="A11" s="10" t="inlineStr">
        <is>
          <t>◀ 2025年 12月 ▶</t>
        </is>
      </c>
      <c r="B11" s="2" t="n"/>
      <c r="C11" s="2" t="n"/>
      <c r="D11" s="2" t="n"/>
      <c r="E11" s="2" t="n"/>
      <c r="F11" s="2" t="n"/>
      <c r="G11" s="2" t="n"/>
      <c r="H11" s="67">
        <f>H10+E11-F11-G11</f>
        <v/>
      </c>
      <c r="I11" s="11">
        <f>E11*32</f>
        <v/>
      </c>
      <c r="J11" s="11">
        <f>G11*32</f>
        <v/>
      </c>
      <c r="K11" s="68">
        <f>K10+I11-J11</f>
        <v/>
      </c>
      <c r="L11" s="2" t="n"/>
      <c r="M11" s="2" t="n"/>
      <c r="N11" s="2" t="n"/>
      <c r="O11" s="2" t="inlineStr">
        <is>
          <t xml:space="preserve">  • D欄：金額(USDT)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338">
      <c r="A12" s="43" t="n">
        <v>46003</v>
      </c>
      <c r="B12" s="44" t="inlineStr">
        <is>
          <t>平台手續費</t>
        </is>
      </c>
      <c r="C12" s="45" t="inlineStr">
        <is>
          <t>平台手續費（Topup / Transaction）</t>
        </is>
      </c>
      <c r="D12" s="46" t="inlineStr">
        <is>
          <t>變動</t>
        </is>
      </c>
      <c r="E12" s="47" t="n"/>
      <c r="F12" s="48" t="n"/>
      <c r="G12" s="49" t="n">
        <v>1.68</v>
      </c>
      <c r="H12" s="41">
        <f>H11+E12-F12-G12</f>
        <v/>
      </c>
      <c r="I12" s="32">
        <f>E12*32</f>
        <v/>
      </c>
      <c r="J12" s="50">
        <f>G12*32</f>
        <v/>
      </c>
      <c r="K12" s="22">
        <f>K11+I12-J12</f>
        <v/>
      </c>
      <c r="L12" s="51" t="inlineStr">
        <is>
          <t>v</t>
        </is>
      </c>
      <c r="M12" s="2" t="n"/>
      <c r="N12" s="2" t="n"/>
      <c r="O12" s="2" t="inlineStr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338">
      <c r="A13" s="34" t="n">
        <v>46015</v>
      </c>
      <c r="B13" s="35" t="inlineStr">
        <is>
          <t>網域/域名</t>
        </is>
      </c>
      <c r="C13" s="138" t="inlineStr">
        <is>
          <t>網域YS89.win-$17.51</t>
        </is>
      </c>
      <c r="D13" s="37" t="inlineStr">
        <is>
          <t>一次性</t>
        </is>
      </c>
      <c r="E13" s="38" t="n"/>
      <c r="F13" s="39" t="n"/>
      <c r="G13" s="139" t="n">
        <v>63.15</v>
      </c>
      <c r="H13" s="69">
        <f>H12+E13-F13-G13</f>
        <v/>
      </c>
      <c r="I13" s="32">
        <f>E13*32</f>
        <v/>
      </c>
      <c r="J13" s="21">
        <f>G13*32</f>
        <v/>
      </c>
      <c r="K13" s="70">
        <f>K12+I13-J13</f>
        <v/>
      </c>
      <c r="L13" s="42" t="inlineStr">
        <is>
          <t>v</t>
        </is>
      </c>
      <c r="M13" s="2" t="n"/>
      <c r="N13" s="2" t="n"/>
      <c r="O13" s="340" t="inlineStr">
        <is>
          <t>4️⃣ 其他欄位自動計算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338">
      <c r="A14" s="34" t="n">
        <v>46015</v>
      </c>
      <c r="B14" s="35" t="inlineStr">
        <is>
          <t>網域/域名</t>
        </is>
      </c>
      <c r="C14" s="138" t="inlineStr">
        <is>
          <t>網域YS89.bet-$24.49 主站</t>
        </is>
      </c>
      <c r="D14" s="37" t="inlineStr">
        <is>
          <t>一次性</t>
        </is>
      </c>
      <c r="E14" s="38" t="n"/>
      <c r="F14" s="39" t="n"/>
      <c r="G14" s="139" t="n"/>
      <c r="H14" s="69">
        <f>H13+E14-F14-G14</f>
        <v/>
      </c>
      <c r="I14" s="32">
        <f>E14*32</f>
        <v/>
      </c>
      <c r="J14" s="21">
        <f>G14*32</f>
        <v/>
      </c>
      <c r="K14" s="70">
        <f>K13+I14-J14</f>
        <v/>
      </c>
      <c r="L14" s="42" t="inlineStr">
        <is>
          <t>v</t>
        </is>
      </c>
      <c r="M14" s="2" t="n"/>
      <c r="N14" s="2" t="n"/>
      <c r="O14" s="2" t="inlineStr">
        <is>
          <t>第3行包含所有公式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338">
      <c r="A15" s="34" t="n">
        <v>46015</v>
      </c>
      <c r="B15" s="35" t="inlineStr">
        <is>
          <t>網域/域名</t>
        </is>
      </c>
      <c r="C15" s="138" t="inlineStr">
        <is>
          <t>網域YS89.fun-$12.48 論壇</t>
        </is>
      </c>
      <c r="D15" s="37" t="inlineStr">
        <is>
          <t>一次性</t>
        </is>
      </c>
      <c r="E15" s="38" t="n"/>
      <c r="F15" s="39" t="n"/>
      <c r="G15" s="139" t="n"/>
      <c r="H15" s="69">
        <f>H14+E15-F15-G15</f>
        <v/>
      </c>
      <c r="I15" s="32">
        <f>E15*32</f>
        <v/>
      </c>
      <c r="J15" s="21">
        <f>G15*32</f>
        <v/>
      </c>
      <c r="K15" s="70">
        <f>K14+I15-J15</f>
        <v/>
      </c>
      <c r="L15" s="42" t="inlineStr">
        <is>
          <t>v</t>
        </is>
      </c>
      <c r="M15" s="2" t="n"/>
      <c r="N15" s="2" t="n"/>
      <c r="O15" s="388" t="inlineStr">
        <is>
          <t>【彙整統計】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338">
      <c r="A16" s="43" t="n">
        <v>46015</v>
      </c>
      <c r="B16" s="44" t="inlineStr">
        <is>
          <t>平台手續費</t>
        </is>
      </c>
      <c r="C16" s="45" t="inlineStr">
        <is>
          <t>平台手續費（Topup / Transaction）</t>
        </is>
      </c>
      <c r="D16" s="46" t="inlineStr">
        <is>
          <t>變動</t>
        </is>
      </c>
      <c r="E16" s="47" t="n"/>
      <c r="F16" s="48" t="n"/>
      <c r="G16" s="49" t="n">
        <v>2.32</v>
      </c>
      <c r="H16" s="69">
        <f>H15+E16-F16-G16</f>
        <v/>
      </c>
      <c r="I16" s="32">
        <f>E16*32</f>
        <v/>
      </c>
      <c r="J16" s="50">
        <f>G16*32</f>
        <v/>
      </c>
      <c r="K16" s="70">
        <f>K15+I16-J16</f>
        <v/>
      </c>
      <c r="L16" s="51" t="inlineStr">
        <is>
          <t>v</t>
        </is>
      </c>
      <c r="M16" s="2" t="n"/>
      <c r="N16" s="2" t="n"/>
      <c r="O16" s="389" t="inlineStr">
        <is>
          <t>記錄數量</t>
        </is>
      </c>
      <c r="P16" s="390">
        <f>COUNTA(A3:A121)-1</f>
        <v/>
      </c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338">
      <c r="A17" s="52" t="n">
        <v>46019</v>
      </c>
      <c r="B17" s="53" t="inlineStr">
        <is>
          <t>Cursor</t>
        </is>
      </c>
      <c r="C17" s="54" t="inlineStr">
        <is>
          <t>Cursor Pro 月費</t>
        </is>
      </c>
      <c r="D17" s="55" t="inlineStr">
        <is>
          <t>變動</t>
        </is>
      </c>
      <c r="E17" s="56" t="n"/>
      <c r="F17" s="57" t="n"/>
      <c r="G17" s="58" t="n">
        <v>21.4</v>
      </c>
      <c r="H17" s="69">
        <f>H16+E17-F17-G17</f>
        <v/>
      </c>
      <c r="I17" s="32">
        <f>E17*32</f>
        <v/>
      </c>
      <c r="J17" s="21">
        <f>G17*32</f>
        <v/>
      </c>
      <c r="K17" s="70">
        <f>K16+I17-J17</f>
        <v/>
      </c>
      <c r="L17" s="59" t="inlineStr">
        <is>
          <t>v</t>
        </is>
      </c>
      <c r="M17" s="2" t="n"/>
      <c r="N17" s="2" t="n"/>
      <c r="O17" s="389" t="inlineStr">
        <is>
          <t>總費用(USDT)</t>
        </is>
      </c>
      <c r="P17" s="390">
        <f>SUBTOTAL(109,D3:D121)</f>
        <v/>
      </c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338">
      <c r="A18" s="43" t="n">
        <v>46019</v>
      </c>
      <c r="B18" s="44" t="inlineStr">
        <is>
          <t>平台手續費</t>
        </is>
      </c>
      <c r="C18" s="45" t="inlineStr">
        <is>
          <t>平台手續費（Topup / Transaction）</t>
        </is>
      </c>
      <c r="D18" s="46" t="inlineStr">
        <is>
          <t>變動</t>
        </is>
      </c>
      <c r="E18" s="47" t="n"/>
      <c r="F18" s="48" t="n"/>
      <c r="G18" s="49" t="n">
        <v>0.4</v>
      </c>
      <c r="H18" s="69">
        <f>H17+E18-F18-G18</f>
        <v/>
      </c>
      <c r="I18" s="32">
        <f>E18*32</f>
        <v/>
      </c>
      <c r="J18" s="50">
        <f>G18*32</f>
        <v/>
      </c>
      <c r="K18" s="70">
        <f>K17+I18-J18</f>
        <v/>
      </c>
      <c r="L18" s="51" t="inlineStr">
        <is>
          <t>v</t>
        </is>
      </c>
      <c r="M18" s="2" t="n"/>
      <c r="N18" s="2" t="n"/>
      <c r="O18" s="389" t="inlineStr">
        <is>
          <t>總費用(TWD)</t>
        </is>
      </c>
      <c r="P18" s="390">
        <f>SUBTOTAL(109,I3:I121)</f>
        <v/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338">
      <c r="A19" s="52" t="n">
        <v>46020</v>
      </c>
      <c r="B19" s="53" t="inlineStr">
        <is>
          <t>Cursor</t>
        </is>
      </c>
      <c r="C19" s="54" t="inlineStr">
        <is>
          <t>CursorCursor Token 使用費</t>
        </is>
      </c>
      <c r="D19" s="55" t="inlineStr">
        <is>
          <t>變動</t>
        </is>
      </c>
      <c r="E19" s="56" t="n"/>
      <c r="F19" s="57" t="n"/>
      <c r="G19" s="58" t="n">
        <v>20.11</v>
      </c>
      <c r="H19" s="69">
        <f>H18+E19-F19-G19</f>
        <v/>
      </c>
      <c r="I19" s="32">
        <f>E19*32</f>
        <v/>
      </c>
      <c r="J19" s="21">
        <f>G19*32</f>
        <v/>
      </c>
      <c r="K19" s="70">
        <f>K18+I19-J19</f>
        <v/>
      </c>
      <c r="L19" s="59" t="inlineStr">
        <is>
          <t>v</t>
        </is>
      </c>
      <c r="M19" s="2" t="n"/>
      <c r="N19" s="2" t="n"/>
      <c r="O19" s="389" t="inlineStr">
        <is>
          <t>總支出(TWD)</t>
        </is>
      </c>
      <c r="P19" s="390">
        <f>SUBTOTAL(109,J3:J121)</f>
        <v/>
      </c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338">
      <c r="A20" s="43" t="n">
        <v>46020</v>
      </c>
      <c r="B20" s="44" t="inlineStr">
        <is>
          <t>平台手續費</t>
        </is>
      </c>
      <c r="C20" s="45" t="inlineStr">
        <is>
          <t>平台手續費（Topup / Transaction）</t>
        </is>
      </c>
      <c r="D20" s="46" t="inlineStr">
        <is>
          <t>變動</t>
        </is>
      </c>
      <c r="E20" s="47" t="n"/>
      <c r="F20" s="48" t="n"/>
      <c r="G20" s="49" t="n">
        <v>0.4</v>
      </c>
      <c r="H20" s="69">
        <f>H19+E20-F20-G20</f>
        <v/>
      </c>
      <c r="I20" s="32">
        <f>E20*32</f>
        <v/>
      </c>
      <c r="J20" s="50">
        <f>G20*32</f>
        <v/>
      </c>
      <c r="K20" s="70">
        <f>K19+I20-J20</f>
        <v/>
      </c>
      <c r="L20" s="51" t="inlineStr">
        <is>
          <t>v</t>
        </is>
      </c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38">
      <c r="A21" s="60" t="inlineStr">
        <is>
          <t>── 2025年12月 小計 ──</t>
        </is>
      </c>
      <c r="B21" s="2" t="n"/>
      <c r="C21" s="2" t="n"/>
      <c r="D21" s="2" t="n"/>
      <c r="E21" s="61" t="n"/>
      <c r="F21" s="62" t="n">
        <v>4.8</v>
      </c>
      <c r="G21" s="61" t="n">
        <v>104.66</v>
      </c>
      <c r="H21" s="63">
        <f>H20+E21-F21-G21</f>
        <v/>
      </c>
      <c r="I21" s="64">
        <f>E21*32</f>
        <v/>
      </c>
      <c r="J21" s="64">
        <f>G21*32</f>
        <v/>
      </c>
      <c r="K21" s="65">
        <f>K20+I21-J21</f>
        <v/>
      </c>
      <c r="L21" s="66" t="n"/>
      <c r="M21" s="2" t="n"/>
      <c r="N21" s="2" t="n"/>
      <c r="O21" s="388" t="inlineStr">
        <is>
          <t>【重要欄位說明】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338">
      <c r="A22" s="10" t="inlineStr">
        <is>
          <t>◀ 2026年 01月 ▶</t>
        </is>
      </c>
      <c r="B22" s="2" t="n"/>
      <c r="C22" s="2" t="n"/>
      <c r="D22" s="2" t="n"/>
      <c r="E22" s="2" t="n"/>
      <c r="F22" s="2" t="n"/>
      <c r="G22" s="2" t="n"/>
      <c r="H22" s="67">
        <f>H21+E22-F22-G22</f>
        <v/>
      </c>
      <c r="I22" s="11">
        <f>E22*32</f>
        <v/>
      </c>
      <c r="J22" s="11">
        <f>G22*32</f>
        <v/>
      </c>
      <c r="K22" s="68">
        <f>K21+I22-J22</f>
        <v/>
      </c>
      <c r="L22" s="2" t="n"/>
      <c r="M22" s="2" t="n"/>
      <c r="N22" s="2" t="n"/>
      <c r="O22" s="340" t="inlineStr">
        <is>
          <t>D欄：費用(USDT)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38">
      <c r="A23" s="12" t="n">
        <v>46027</v>
      </c>
      <c r="B23" s="13" t="n"/>
      <c r="C23" s="14" t="inlineStr">
        <is>
          <t>儲U</t>
        </is>
      </c>
      <c r="D23" s="15" t="inlineStr">
        <is>
          <t>儲值</t>
        </is>
      </c>
      <c r="E23" s="16" t="n">
        <v>1000</v>
      </c>
      <c r="F23" s="17" t="n"/>
      <c r="G23" s="18" t="n"/>
      <c r="H23" s="19">
        <f>H22+E23-F23-G23</f>
        <v/>
      </c>
      <c r="I23" s="20">
        <f>E23*32</f>
        <v/>
      </c>
      <c r="J23" s="21">
        <f>G23*32</f>
        <v/>
      </c>
      <c r="K23" s="22">
        <f>K22+I23-J23</f>
        <v/>
      </c>
      <c r="L23" s="23" t="inlineStr">
        <is>
          <t>v</t>
        </is>
      </c>
      <c r="M23" s="2" t="n"/>
      <c r="N23" s="2" t="n"/>
      <c r="O23" s="2" t="inlineStr">
        <is>
          <t xml:space="preserve">  輸入金額後，會自動計算TWD</t>
        </is>
      </c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38">
      <c r="A24" s="71" t="n">
        <v>46028</v>
      </c>
      <c r="B24" s="72" t="inlineStr">
        <is>
          <t>Cloudways</t>
        </is>
      </c>
      <c r="C24" s="73" t="inlineStr">
        <is>
          <t>Cloudways 月費</t>
        </is>
      </c>
      <c r="D24" s="74" t="inlineStr">
        <is>
          <t>固定</t>
        </is>
      </c>
      <c r="E24" s="75" t="n"/>
      <c r="F24" s="76" t="n"/>
      <c r="G24" s="77" t="n">
        <v>40.76</v>
      </c>
      <c r="H24" s="78">
        <f>H23+E24-F24-G24</f>
        <v/>
      </c>
      <c r="I24" s="32">
        <f>E24*32</f>
        <v/>
      </c>
      <c r="J24" s="21">
        <f>G24*32</f>
        <v/>
      </c>
      <c r="K24" s="22">
        <f>K23+I24-J24</f>
        <v/>
      </c>
      <c r="L24" s="79" t="inlineStr">
        <is>
          <t>v</t>
        </is>
      </c>
      <c r="M24" s="2" t="n"/>
      <c r="N24" s="2" t="n"/>
      <c r="O24" s="2" t="inlineStr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34" t="n">
        <v>46029</v>
      </c>
      <c r="B25" s="35" t="inlineStr">
        <is>
          <t>網域/域名</t>
        </is>
      </c>
      <c r="C25" s="138" t="inlineStr">
        <is>
          <t>購買網域16888win.com</t>
        </is>
      </c>
      <c r="D25" s="37" t="inlineStr">
        <is>
          <t>一次性</t>
        </is>
      </c>
      <c r="E25" s="38" t="n"/>
      <c r="F25" s="39" t="n"/>
      <c r="G25" s="139" t="n">
        <v>24.61</v>
      </c>
      <c r="H25" s="80">
        <f>H24+E25-F25-G25</f>
        <v/>
      </c>
      <c r="I25" s="32">
        <f>E25*32</f>
        <v/>
      </c>
      <c r="J25" s="21">
        <f>G25*32</f>
        <v/>
      </c>
      <c r="K25" s="22">
        <f>K24+I25-J25</f>
        <v/>
      </c>
      <c r="L25" s="42" t="inlineStr">
        <is>
          <t>v</t>
        </is>
      </c>
      <c r="M25" s="2" t="n"/>
      <c r="N25" s="2" t="n"/>
      <c r="O25" s="340" t="inlineStr">
        <is>
          <t>I欄：費用(TWD)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38">
      <c r="A26" s="43" t="n">
        <v>46029</v>
      </c>
      <c r="B26" s="44" t="inlineStr">
        <is>
          <t>平台手續費</t>
        </is>
      </c>
      <c r="C26" s="45" t="inlineStr">
        <is>
          <t>平台手續費（Topup / Transaction）</t>
        </is>
      </c>
      <c r="D26" s="46" t="inlineStr">
        <is>
          <t>變動</t>
        </is>
      </c>
      <c r="E26" s="47" t="n"/>
      <c r="F26" s="48" t="n"/>
      <c r="G26" s="49" t="n">
        <v>5.45</v>
      </c>
      <c r="H26" s="81">
        <f>H25+E26-F26-G26</f>
        <v/>
      </c>
      <c r="I26" s="32">
        <f>E26*32</f>
        <v/>
      </c>
      <c r="J26" s="50">
        <f>G26*32</f>
        <v/>
      </c>
      <c r="K26" s="22">
        <f>K25+I26-J26</f>
        <v/>
      </c>
      <c r="L26" s="51" t="inlineStr">
        <is>
          <t>v</t>
        </is>
      </c>
      <c r="M26" s="2" t="n"/>
      <c r="N26" s="2" t="n"/>
      <c r="O26" s="2" t="inlineStr">
        <is>
          <t xml:space="preserve">  自動計算欄位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52" t="n">
        <v>46030</v>
      </c>
      <c r="B27" s="53" t="inlineStr">
        <is>
          <t>Cursor</t>
        </is>
      </c>
      <c r="C27" s="54" t="inlineStr">
        <is>
          <t>CursorCursor Token 使用費</t>
        </is>
      </c>
      <c r="D27" s="55" t="inlineStr">
        <is>
          <t>變動</t>
        </is>
      </c>
      <c r="E27" s="56" t="n"/>
      <c r="F27" s="57" t="n"/>
      <c r="G27" s="58" t="n">
        <v>22.69</v>
      </c>
      <c r="H27" s="82">
        <f>H26+E27-F27-G27</f>
        <v/>
      </c>
      <c r="I27" s="32">
        <f>E27*32</f>
        <v/>
      </c>
      <c r="J27" s="21">
        <f>G27*32</f>
        <v/>
      </c>
      <c r="K27" s="22">
        <f>K26+I27-J27</f>
        <v/>
      </c>
      <c r="L27" s="59" t="inlineStr">
        <is>
          <t>v</t>
        </is>
      </c>
      <c r="M27" s="2" t="n"/>
      <c r="N27" s="2" t="n"/>
      <c r="O27" s="2" t="inlineStr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38">
      <c r="A28" s="43" t="n">
        <v>46030</v>
      </c>
      <c r="B28" s="44" t="inlineStr">
        <is>
          <t>平台手續費</t>
        </is>
      </c>
      <c r="C28" s="45" t="inlineStr">
        <is>
          <t>平台手續費（Topup / Transaction）</t>
        </is>
      </c>
      <c r="D28" s="46" t="inlineStr">
        <is>
          <t>變動</t>
        </is>
      </c>
      <c r="E28" s="47" t="n"/>
      <c r="F28" s="48" t="n"/>
      <c r="G28" s="49" t="n">
        <v>4.57</v>
      </c>
      <c r="H28" s="81">
        <f>H27+E28-F28-G28</f>
        <v/>
      </c>
      <c r="I28" s="32">
        <f>E28*32</f>
        <v/>
      </c>
      <c r="J28" s="50">
        <f>G28*32</f>
        <v/>
      </c>
      <c r="K28" s="22">
        <f>K27+I28-J28</f>
        <v/>
      </c>
      <c r="L28" s="51" t="inlineStr">
        <is>
          <t>v</t>
        </is>
      </c>
      <c r="M28" s="2" t="n"/>
      <c r="N28" s="2" t="n"/>
      <c r="O28" s="340" t="inlineStr">
        <is>
          <t>J欄：支出(TWD)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38">
      <c r="A29" s="52" t="n">
        <v>46031</v>
      </c>
      <c r="B29" s="53" t="inlineStr">
        <is>
          <t>Cursor</t>
        </is>
      </c>
      <c r="C29" s="54" t="inlineStr">
        <is>
          <t>CursorCursor Token 使用費</t>
        </is>
      </c>
      <c r="D29" s="55" t="inlineStr">
        <is>
          <t>變動</t>
        </is>
      </c>
      <c r="E29" s="56" t="n"/>
      <c r="F29" s="57" t="n"/>
      <c r="G29" s="58" t="n">
        <v>43.19</v>
      </c>
      <c r="H29" s="82">
        <f>H28+E29-F29-G29</f>
        <v/>
      </c>
      <c r="I29" s="32">
        <f>E29*32</f>
        <v/>
      </c>
      <c r="J29" s="21">
        <f>G29*32</f>
        <v/>
      </c>
      <c r="K29" s="22">
        <f>K28+I29-J29</f>
        <v/>
      </c>
      <c r="L29" s="59" t="inlineStr">
        <is>
          <t>v</t>
        </is>
      </c>
      <c r="M29" s="2" t="n"/>
      <c r="N29" s="2" t="n"/>
      <c r="O29" s="2" t="inlineStr">
        <is>
          <t xml:space="preserve">  自動計算欄位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38">
      <c r="A30" s="43" t="n">
        <v>46031</v>
      </c>
      <c r="B30" s="44" t="inlineStr">
        <is>
          <t>平台手續費</t>
        </is>
      </c>
      <c r="C30" s="45" t="inlineStr">
        <is>
          <t>平台手續費（Topup / Transaction）</t>
        </is>
      </c>
      <c r="D30" s="46" t="inlineStr">
        <is>
          <t>變動</t>
        </is>
      </c>
      <c r="E30" s="47" t="n"/>
      <c r="F30" s="48" t="n"/>
      <c r="G30" s="49" t="n">
        <v>2.26</v>
      </c>
      <c r="H30" s="81">
        <f>H29+E30-F30-G30</f>
        <v/>
      </c>
      <c r="I30" s="32">
        <f>E30*32</f>
        <v/>
      </c>
      <c r="J30" s="50">
        <f>G30*32</f>
        <v/>
      </c>
      <c r="K30" s="22">
        <f>K29+I30-J30</f>
        <v/>
      </c>
      <c r="L30" s="51" t="inlineStr">
        <is>
          <t>v</t>
        </is>
      </c>
      <c r="M30" s="2" t="n"/>
      <c r="N30" s="2" t="n"/>
      <c r="O30" s="2" t="inlineStr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83" t="n">
        <v>46044</v>
      </c>
      <c r="B31" s="84" t="inlineStr">
        <is>
          <t>Livechat</t>
        </is>
      </c>
      <c r="C31" s="85" t="inlineStr">
        <is>
          <t>livechat 月費-帳號</t>
        </is>
      </c>
      <c r="D31" s="86" t="inlineStr">
        <is>
          <t>固定</t>
        </is>
      </c>
      <c r="E31" s="87" t="n"/>
      <c r="F31" s="88" t="n"/>
      <c r="G31" s="89" t="n">
        <v>60</v>
      </c>
      <c r="H31" s="90">
        <f>H30+E31-F31-G31</f>
        <v/>
      </c>
      <c r="I31" s="32">
        <f>E31*32</f>
        <v/>
      </c>
      <c r="J31" s="21">
        <f>G31*32</f>
        <v/>
      </c>
      <c r="K31" s="22">
        <f>K30+I31-J31</f>
        <v/>
      </c>
      <c r="L31" s="91" t="inlineStr">
        <is>
          <t>v</t>
        </is>
      </c>
      <c r="M31" s="2" t="n"/>
      <c r="N31" s="2" t="n"/>
      <c r="O31" s="2" t="inlineStr">
        <is>
          <t>匯率設定：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43" t="n">
        <v>46048</v>
      </c>
      <c r="B32" s="44" t="inlineStr">
        <is>
          <t>平台手續費</t>
        </is>
      </c>
      <c r="C32" s="45" t="inlineStr">
        <is>
          <t>平台手續費（Topup / Transaction）</t>
        </is>
      </c>
      <c r="D32" s="46" t="inlineStr">
        <is>
          <t>變動</t>
        </is>
      </c>
      <c r="E32" s="47" t="n"/>
      <c r="F32" s="48" t="n"/>
      <c r="G32" s="49" t="n">
        <v>2.5</v>
      </c>
      <c r="H32" s="81">
        <f>H31+E32-F32-G32</f>
        <v/>
      </c>
      <c r="I32" s="32">
        <f>E32*32</f>
        <v/>
      </c>
      <c r="J32" s="50">
        <f>G32*32</f>
        <v/>
      </c>
      <c r="K32" s="22">
        <f>K31+I32-J32</f>
        <v/>
      </c>
      <c r="L32" s="51" t="inlineStr">
        <is>
          <t>v</t>
        </is>
      </c>
      <c r="M32" s="2" t="n"/>
      <c r="N32" s="2" t="n"/>
      <c r="O32" s="2" t="inlineStr">
        <is>
          <t xml:space="preserve">  N1儲存格（目前：32 TWD/USDT）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83" t="n">
        <v>46048</v>
      </c>
      <c r="B33" s="84" t="inlineStr">
        <is>
          <t>Livechat</t>
        </is>
      </c>
      <c r="C33" s="85" t="inlineStr">
        <is>
          <t>livechat 聊天機器人-訂閱</t>
        </is>
      </c>
      <c r="D33" s="86" t="inlineStr">
        <is>
          <t>固定</t>
        </is>
      </c>
      <c r="E33" s="87" t="n"/>
      <c r="F33" s="88" t="n"/>
      <c r="G33" s="89" t="n">
        <v>65</v>
      </c>
      <c r="H33" s="90">
        <f>H32+E33-F33-G33</f>
        <v/>
      </c>
      <c r="I33" s="32">
        <f>E33*32</f>
        <v/>
      </c>
      <c r="J33" s="21">
        <f>G33*32</f>
        <v/>
      </c>
      <c r="K33" s="22">
        <f>K32+I33-J33</f>
        <v/>
      </c>
      <c r="L33" s="91" t="inlineStr">
        <is>
          <t>v</t>
        </is>
      </c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38">
      <c r="A34" s="43" t="n">
        <v>46048</v>
      </c>
      <c r="B34" s="44" t="inlineStr">
        <is>
          <t>平台手續費</t>
        </is>
      </c>
      <c r="C34" s="45" t="inlineStr">
        <is>
          <t>平台手續費（Topup / Transaction）</t>
        </is>
      </c>
      <c r="D34" s="46" t="inlineStr">
        <is>
          <t>變動</t>
        </is>
      </c>
      <c r="E34" s="47" t="n"/>
      <c r="F34" s="48" t="n"/>
      <c r="G34" s="49" t="n">
        <v>5</v>
      </c>
      <c r="H34" s="81">
        <f>H33+E34-F34-G34</f>
        <v/>
      </c>
      <c r="I34" s="32">
        <f>E34*32</f>
        <v/>
      </c>
      <c r="J34" s="50">
        <f>G34*32</f>
        <v/>
      </c>
      <c r="K34" s="22">
        <f>K33+I34-J34</f>
        <v/>
      </c>
      <c r="L34" s="51" t="inlineStr">
        <is>
          <t>v</t>
        </is>
      </c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52" t="n">
        <v>46050</v>
      </c>
      <c r="B35" s="53" t="inlineStr">
        <is>
          <t>Cursor</t>
        </is>
      </c>
      <c r="C35" s="54" t="inlineStr">
        <is>
          <t>Cursor Pro 月費</t>
        </is>
      </c>
      <c r="D35" s="55" t="inlineStr">
        <is>
          <t>變動</t>
        </is>
      </c>
      <c r="E35" s="56" t="n"/>
      <c r="F35" s="57" t="n"/>
      <c r="G35" s="58" t="n">
        <v>21.4</v>
      </c>
      <c r="H35" s="82">
        <f>H34+E35-F35-G35</f>
        <v/>
      </c>
      <c r="I35" s="32">
        <f>E35*32</f>
        <v/>
      </c>
      <c r="J35" s="21">
        <f>G35*32</f>
        <v/>
      </c>
      <c r="K35" s="22">
        <f>K34+I35-J35</f>
        <v/>
      </c>
      <c r="L35" s="59" t="inlineStr">
        <is>
          <t>v</t>
        </is>
      </c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43" t="n">
        <v>46050</v>
      </c>
      <c r="B36" s="44" t="inlineStr">
        <is>
          <t>平台手續費</t>
        </is>
      </c>
      <c r="C36" s="45" t="inlineStr">
        <is>
          <t>平台手續費（Topup / Transaction）</t>
        </is>
      </c>
      <c r="D36" s="46" t="inlineStr">
        <is>
          <t>變動</t>
        </is>
      </c>
      <c r="E36" s="47" t="n"/>
      <c r="F36" s="48" t="n"/>
      <c r="G36" s="49" t="n">
        <v>0.4</v>
      </c>
      <c r="H36" s="81">
        <f>H35+E36-F36-G36</f>
        <v/>
      </c>
      <c r="I36" s="32">
        <f>E36*32</f>
        <v/>
      </c>
      <c r="J36" s="50">
        <f>G36*32</f>
        <v/>
      </c>
      <c r="K36" s="22">
        <f>K35+I36-J36</f>
        <v/>
      </c>
      <c r="L36" s="51" t="inlineStr">
        <is>
          <t>v</t>
        </is>
      </c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92" t="n">
        <v>46050</v>
      </c>
      <c r="B37" s="93" t="inlineStr">
        <is>
          <t>Zeabur</t>
        </is>
      </c>
      <c r="C37" s="94" t="inlineStr">
        <is>
          <t>Zeabur 月費</t>
        </is>
      </c>
      <c r="D37" s="95" t="inlineStr">
        <is>
          <t>固定</t>
        </is>
      </c>
      <c r="E37" s="96" t="n"/>
      <c r="F37" s="97" t="n"/>
      <c r="G37" s="98" t="n">
        <v>5</v>
      </c>
      <c r="H37" s="99">
        <f>H36+E37-F37-G37</f>
        <v/>
      </c>
      <c r="I37" s="32">
        <f>E37*32</f>
        <v/>
      </c>
      <c r="J37" s="21">
        <f>G37*32</f>
        <v/>
      </c>
      <c r="K37" s="22">
        <f>K36+I37-J37</f>
        <v/>
      </c>
      <c r="L37" s="100" t="inlineStr">
        <is>
          <t>v</t>
        </is>
      </c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38">
      <c r="A38" s="43" t="n">
        <v>46050</v>
      </c>
      <c r="B38" s="44" t="inlineStr">
        <is>
          <t>平台手續費</t>
        </is>
      </c>
      <c r="C38" s="45" t="inlineStr">
        <is>
          <t>平台手續費（Topup / Transaction）</t>
        </is>
      </c>
      <c r="D38" s="46" t="inlineStr">
        <is>
          <t>變動</t>
        </is>
      </c>
      <c r="E38" s="47" t="n"/>
      <c r="F38" s="48" t="n"/>
      <c r="G38" s="49" t="n">
        <v>0.4</v>
      </c>
      <c r="H38" s="81">
        <f>H37+E38-F38-G38</f>
        <v/>
      </c>
      <c r="I38" s="32">
        <f>E38*32</f>
        <v/>
      </c>
      <c r="J38" s="50">
        <f>G38*32</f>
        <v/>
      </c>
      <c r="K38" s="22">
        <f>K37+I38-J38</f>
        <v/>
      </c>
      <c r="L38" s="51" t="inlineStr">
        <is>
          <t>v</t>
        </is>
      </c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52" t="n">
        <v>46051</v>
      </c>
      <c r="B39" s="53" t="inlineStr">
        <is>
          <t>Cursor</t>
        </is>
      </c>
      <c r="C39" s="54" t="inlineStr">
        <is>
          <t>Cursor usage dec</t>
        </is>
      </c>
      <c r="D39" s="55" t="inlineStr">
        <is>
          <t>變動</t>
        </is>
      </c>
      <c r="E39" s="56" t="n"/>
      <c r="F39" s="57" t="n"/>
      <c r="G39" s="58" t="n">
        <v>39.69</v>
      </c>
      <c r="H39" s="82">
        <f>H38+E39-F39-G39</f>
        <v/>
      </c>
      <c r="I39" s="32">
        <f>E39*32</f>
        <v/>
      </c>
      <c r="J39" s="21">
        <f>G39*32</f>
        <v/>
      </c>
      <c r="K39" s="22">
        <f>K38+I39-J39</f>
        <v/>
      </c>
      <c r="L39" s="59" t="inlineStr">
        <is>
          <t>v</t>
        </is>
      </c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60" t="inlineStr">
        <is>
          <t>── 2026年01月 小計 ──</t>
        </is>
      </c>
      <c r="B40" s="2" t="n"/>
      <c r="C40" s="2" t="n"/>
      <c r="D40" s="2" t="n"/>
      <c r="E40" s="61" t="n">
        <v>1000</v>
      </c>
      <c r="F40" s="62" t="n">
        <v>20.58</v>
      </c>
      <c r="G40" s="61" t="n">
        <v>322.34</v>
      </c>
      <c r="H40" s="63">
        <f>H39+E40-F40-G40</f>
        <v/>
      </c>
      <c r="I40" s="64">
        <f>E40*32</f>
        <v/>
      </c>
      <c r="J40" s="64">
        <f>G40*32</f>
        <v/>
      </c>
      <c r="K40" s="65">
        <f>K39+I40-J40</f>
        <v/>
      </c>
      <c r="L40" s="66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338">
      <c r="A41" s="10" t="inlineStr">
        <is>
          <t>◀ 2026年 02月 ▶</t>
        </is>
      </c>
      <c r="B41" s="2" t="n"/>
      <c r="C41" s="2" t="n"/>
      <c r="D41" s="2" t="n"/>
      <c r="E41" s="2" t="n"/>
      <c r="F41" s="2" t="n"/>
      <c r="G41" s="2" t="n"/>
      <c r="H41" s="67">
        <f>H40+E41-F41-G41</f>
        <v/>
      </c>
      <c r="I41" s="11">
        <f>E41*32</f>
        <v/>
      </c>
      <c r="J41" s="11">
        <f>G41*32</f>
        <v/>
      </c>
      <c r="K41" s="68">
        <f>K40+I41-J41</f>
        <v/>
      </c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43" t="n">
        <v>46062</v>
      </c>
      <c r="B42" s="44" t="inlineStr">
        <is>
          <t>平台手續費</t>
        </is>
      </c>
      <c r="C42" s="45" t="inlineStr">
        <is>
          <t>平台手續費（Topup / Transaction）</t>
        </is>
      </c>
      <c r="D42" s="46" t="inlineStr">
        <is>
          <t>變動</t>
        </is>
      </c>
      <c r="E42" s="47" t="n"/>
      <c r="F42" s="48" t="n"/>
      <c r="G42" s="49" t="n">
        <v>0.4</v>
      </c>
      <c r="H42" s="81">
        <f>H41+E42-F42-G42</f>
        <v/>
      </c>
      <c r="I42" s="32">
        <f>E42*32</f>
        <v/>
      </c>
      <c r="J42" s="50">
        <f>G42*32</f>
        <v/>
      </c>
      <c r="K42" s="22">
        <f>K41+I42-J42</f>
        <v/>
      </c>
      <c r="L42" s="51" t="inlineStr">
        <is>
          <t>v</t>
        </is>
      </c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71" t="n">
        <v>46066</v>
      </c>
      <c r="B43" s="72" t="inlineStr">
        <is>
          <t>Cloudways</t>
        </is>
      </c>
      <c r="C43" s="73" t="inlineStr">
        <is>
          <t>Cloudways 月費</t>
        </is>
      </c>
      <c r="D43" s="74" t="inlineStr">
        <is>
          <t>固定</t>
        </is>
      </c>
      <c r="E43" s="75" t="n"/>
      <c r="F43" s="76" t="n"/>
      <c r="G43" s="77" t="n">
        <v>54.5</v>
      </c>
      <c r="H43" s="78">
        <f>H42+E43-F43-G43</f>
        <v/>
      </c>
      <c r="I43" s="32">
        <f>E43*32</f>
        <v/>
      </c>
      <c r="J43" s="21">
        <f>G43*32</f>
        <v/>
      </c>
      <c r="K43" s="22">
        <f>K42+I43-J43</f>
        <v/>
      </c>
      <c r="L43" s="79" t="inlineStr">
        <is>
          <t>v</t>
        </is>
      </c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43" t="n">
        <v>46066</v>
      </c>
      <c r="B44" s="44" t="inlineStr">
        <is>
          <t>平台手續費</t>
        </is>
      </c>
      <c r="C44" s="45" t="inlineStr">
        <is>
          <t>平台手續費（Topup / Transaction）</t>
        </is>
      </c>
      <c r="D44" s="46" t="inlineStr">
        <is>
          <t>變動</t>
        </is>
      </c>
      <c r="E44" s="47" t="n"/>
      <c r="F44" s="48" t="n"/>
      <c r="G44" s="49" t="n">
        <v>0.4</v>
      </c>
      <c r="H44" s="81">
        <f>H43+E44-F44-G44</f>
        <v/>
      </c>
      <c r="I44" s="32">
        <f>E44*32</f>
        <v/>
      </c>
      <c r="J44" s="50">
        <f>G44*32</f>
        <v/>
      </c>
      <c r="K44" s="22">
        <f>K43+I44-J44</f>
        <v/>
      </c>
      <c r="L44" s="51" t="inlineStr">
        <is>
          <t>v</t>
        </is>
      </c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83" t="n">
        <v>46078</v>
      </c>
      <c r="B45" s="84" t="inlineStr">
        <is>
          <t>Livechat</t>
        </is>
      </c>
      <c r="C45" s="85" t="inlineStr">
        <is>
          <t>livechat 聊天機器人-帳號</t>
        </is>
      </c>
      <c r="D45" s="86" t="inlineStr">
        <is>
          <t>固定</t>
        </is>
      </c>
      <c r="E45" s="87" t="n"/>
      <c r="F45" s="88" t="n"/>
      <c r="G45" s="89" t="n">
        <v>59</v>
      </c>
      <c r="H45" s="90">
        <f>H44+E45-F45-G45</f>
        <v/>
      </c>
      <c r="I45" s="32">
        <f>E45*32</f>
        <v/>
      </c>
      <c r="J45" s="21">
        <f>G45*32</f>
        <v/>
      </c>
      <c r="K45" s="22">
        <f>K44+I45-J45</f>
        <v/>
      </c>
      <c r="L45" s="91" t="inlineStr">
        <is>
          <t>v</t>
        </is>
      </c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43" t="n">
        <v>46078</v>
      </c>
      <c r="B46" s="44" t="inlineStr">
        <is>
          <t>平台手續費</t>
        </is>
      </c>
      <c r="C46" s="45" t="inlineStr">
        <is>
          <t>平台手續費（Topup / Transaction）</t>
        </is>
      </c>
      <c r="D46" s="46" t="inlineStr">
        <is>
          <t>變動</t>
        </is>
      </c>
      <c r="E46" s="47" t="n"/>
      <c r="F46" s="48" t="n"/>
      <c r="G46" s="49" t="n">
        <v>2.34</v>
      </c>
      <c r="H46" s="81">
        <f>H45+E46-F46-G46</f>
        <v/>
      </c>
      <c r="I46" s="32">
        <f>E46*32</f>
        <v/>
      </c>
      <c r="J46" s="50">
        <f>G46*32</f>
        <v/>
      </c>
      <c r="K46" s="22">
        <f>K45+I46-J46</f>
        <v/>
      </c>
      <c r="L46" s="51" t="inlineStr">
        <is>
          <t>v</t>
        </is>
      </c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83" t="n">
        <v>46079</v>
      </c>
      <c r="B47" s="84" t="inlineStr">
        <is>
          <t>Livechat</t>
        </is>
      </c>
      <c r="C47" s="85" t="inlineStr">
        <is>
          <t>livechat 聊天機器人-訂閱</t>
        </is>
      </c>
      <c r="D47" s="86" t="inlineStr">
        <is>
          <t>固定</t>
        </is>
      </c>
      <c r="E47" s="87" t="n"/>
      <c r="F47" s="88" t="n"/>
      <c r="G47" s="89" t="n">
        <v>65</v>
      </c>
      <c r="H47" s="90">
        <f>H46+E47-F47-G47</f>
        <v/>
      </c>
      <c r="I47" s="32">
        <f>E47*32</f>
        <v/>
      </c>
      <c r="J47" s="21">
        <f>G47*32</f>
        <v/>
      </c>
      <c r="K47" s="22">
        <f>K46+I47-J47</f>
        <v/>
      </c>
      <c r="L47" s="91" t="inlineStr">
        <is>
          <t>v</t>
        </is>
      </c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38">
      <c r="A48" s="52" t="n">
        <v>46081</v>
      </c>
      <c r="B48" s="53" t="inlineStr">
        <is>
          <t>Cursor</t>
        </is>
      </c>
      <c r="C48" s="54" t="inlineStr">
        <is>
          <t>CursorCursor Token 使用費</t>
        </is>
      </c>
      <c r="D48" s="55" t="inlineStr">
        <is>
          <t>變動</t>
        </is>
      </c>
      <c r="E48" s="56" t="n"/>
      <c r="F48" s="57" t="n"/>
      <c r="G48" s="58" t="n">
        <v>21.4</v>
      </c>
      <c r="H48" s="82">
        <f>H47+E48-F48-G48</f>
        <v/>
      </c>
      <c r="I48" s="32">
        <f>E48*32</f>
        <v/>
      </c>
      <c r="J48" s="21">
        <f>G48*32</f>
        <v/>
      </c>
      <c r="K48" s="22">
        <f>K47+I48-J48</f>
        <v/>
      </c>
      <c r="L48" s="59" t="inlineStr">
        <is>
          <t>v</t>
        </is>
      </c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43" t="n">
        <v>46081</v>
      </c>
      <c r="B49" s="44" t="inlineStr">
        <is>
          <t>平台手續費</t>
        </is>
      </c>
      <c r="C49" s="45" t="inlineStr">
        <is>
          <t>平台手續費（Topup / Transaction）</t>
        </is>
      </c>
      <c r="D49" s="46" t="inlineStr">
        <is>
          <t>變動</t>
        </is>
      </c>
      <c r="E49" s="47" t="n"/>
      <c r="F49" s="48" t="n"/>
      <c r="G49" s="49" t="n">
        <v>0.4</v>
      </c>
      <c r="H49" s="81">
        <f>H48+E49-F49-G49</f>
        <v/>
      </c>
      <c r="I49" s="32">
        <f>E49*32</f>
        <v/>
      </c>
      <c r="J49" s="50">
        <f>G49*32</f>
        <v/>
      </c>
      <c r="K49" s="22">
        <f>K48+I49-J49</f>
        <v/>
      </c>
      <c r="L49" s="51" t="inlineStr">
        <is>
          <t>v</t>
        </is>
      </c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92" t="n">
        <v>46081</v>
      </c>
      <c r="B50" s="93" t="inlineStr">
        <is>
          <t>Zeabur</t>
        </is>
      </c>
      <c r="C50" s="94" t="inlineStr">
        <is>
          <t>Zeabur 月費</t>
        </is>
      </c>
      <c r="D50" s="95" t="inlineStr">
        <is>
          <t>固定</t>
        </is>
      </c>
      <c r="E50" s="96" t="n"/>
      <c r="F50" s="97" t="n"/>
      <c r="G50" s="98" t="n">
        <v>5</v>
      </c>
      <c r="H50" s="99">
        <f>H49+E50-F50-G50</f>
        <v/>
      </c>
      <c r="I50" s="32">
        <f>E50*32</f>
        <v/>
      </c>
      <c r="J50" s="21">
        <f>G50*32</f>
        <v/>
      </c>
      <c r="K50" s="22">
        <f>K49+I50-J50</f>
        <v/>
      </c>
      <c r="L50" s="100" t="inlineStr">
        <is>
          <t>v</t>
        </is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43" t="n">
        <v>46081</v>
      </c>
      <c r="B51" s="44" t="inlineStr">
        <is>
          <t>平台手續費</t>
        </is>
      </c>
      <c r="C51" s="45" t="inlineStr">
        <is>
          <t>平台手續費（Topup / Transaction）</t>
        </is>
      </c>
      <c r="D51" s="46" t="inlineStr">
        <is>
          <t>變動</t>
        </is>
      </c>
      <c r="E51" s="47" t="n"/>
      <c r="F51" s="48" t="n"/>
      <c r="G51" s="49" t="n">
        <v>0.4</v>
      </c>
      <c r="H51" s="81">
        <f>H50+E51-F51-G51</f>
        <v/>
      </c>
      <c r="I51" s="32">
        <f>E51*32</f>
        <v/>
      </c>
      <c r="J51" s="50">
        <f>G51*32</f>
        <v/>
      </c>
      <c r="K51" s="22">
        <f>K50+I51-J51</f>
        <v/>
      </c>
      <c r="L51" s="51" t="inlineStr">
        <is>
          <t>v</t>
        </is>
      </c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60" t="inlineStr">
        <is>
          <t>── 2026年02月 小計 ──</t>
        </is>
      </c>
      <c r="B52" s="2" t="n"/>
      <c r="C52" s="2" t="n"/>
      <c r="D52" s="2" t="n"/>
      <c r="E52" s="61" t="n"/>
      <c r="F52" s="62" t="n">
        <v>3.94</v>
      </c>
      <c r="G52" s="61" t="n">
        <v>204.9</v>
      </c>
      <c r="H52" s="63">
        <f>H51+E52-F52-G52</f>
        <v/>
      </c>
      <c r="I52" s="64">
        <f>E52*32</f>
        <v/>
      </c>
      <c r="J52" s="64">
        <f>G52*32</f>
        <v/>
      </c>
      <c r="K52" s="65">
        <f>K51+I52-J52</f>
        <v/>
      </c>
      <c r="L52" s="66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338">
      <c r="A53" s="10" t="inlineStr">
        <is>
          <t>◀ 2026年 03月 ▶</t>
        </is>
      </c>
      <c r="B53" s="2" t="n"/>
      <c r="C53" s="2" t="n"/>
      <c r="D53" s="2" t="n"/>
      <c r="E53" s="2" t="n"/>
      <c r="F53" s="2" t="n"/>
      <c r="G53" s="2" t="n"/>
      <c r="H53" s="67">
        <f>H52+E53-F53-G53</f>
        <v/>
      </c>
      <c r="I53" s="11">
        <f>E53*32</f>
        <v/>
      </c>
      <c r="J53" s="11">
        <f>G53*32</f>
        <v/>
      </c>
      <c r="K53" s="68">
        <f>K52+I53-J53</f>
        <v/>
      </c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38">
      <c r="A54" s="43" t="n">
        <v>46092</v>
      </c>
      <c r="B54" s="44" t="inlineStr">
        <is>
          <t>平台手續費</t>
        </is>
      </c>
      <c r="C54" s="45" t="inlineStr">
        <is>
          <t>TopupFee</t>
        </is>
      </c>
      <c r="D54" s="46" t="inlineStr">
        <is>
          <t>變動</t>
        </is>
      </c>
      <c r="E54" s="47" t="n"/>
      <c r="F54" s="48" t="n"/>
      <c r="G54" s="49" t="n">
        <v>4.13</v>
      </c>
      <c r="H54" s="81">
        <f>H53+E54-F54-G54</f>
        <v/>
      </c>
      <c r="I54" s="32">
        <f>E54*32</f>
        <v/>
      </c>
      <c r="J54" s="50">
        <f>G54*32</f>
        <v/>
      </c>
      <c r="K54" s="22">
        <f>K53+I54-J54</f>
        <v/>
      </c>
      <c r="L54" s="51" t="inlineStr">
        <is>
          <t>v</t>
        </is>
      </c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71" t="n">
        <v>46092</v>
      </c>
      <c r="B55" s="72" t="inlineStr">
        <is>
          <t>Cloudways</t>
        </is>
      </c>
      <c r="C55" s="73" t="inlineStr">
        <is>
          <t>Cloudways 月費</t>
        </is>
      </c>
      <c r="D55" s="74" t="inlineStr">
        <is>
          <t>固定</t>
        </is>
      </c>
      <c r="E55" s="75" t="n"/>
      <c r="F55" s="76" t="n"/>
      <c r="G55" s="77" t="n">
        <v>54.5</v>
      </c>
      <c r="H55" s="78">
        <f>H54+E55-F55-G55</f>
        <v/>
      </c>
      <c r="I55" s="32">
        <f>E55*32</f>
        <v/>
      </c>
      <c r="J55" s="21">
        <f>G55*32</f>
        <v/>
      </c>
      <c r="K55" s="22">
        <f>K54+I55-J55</f>
        <v/>
      </c>
      <c r="L55" s="79" t="inlineStr">
        <is>
          <t>v</t>
        </is>
      </c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43" t="n">
        <v>46092</v>
      </c>
      <c r="B56" s="44" t="inlineStr">
        <is>
          <t>平台手續費</t>
        </is>
      </c>
      <c r="C56" s="45" t="inlineStr">
        <is>
          <t>TopupFee</t>
        </is>
      </c>
      <c r="D56" s="46" t="inlineStr">
        <is>
          <t>變動</t>
        </is>
      </c>
      <c r="E56" s="47" t="n"/>
      <c r="F56" s="48" t="n"/>
      <c r="G56" s="49" t="n">
        <v>4.49</v>
      </c>
      <c r="H56" s="81">
        <f>H55+E56-F56-G56</f>
        <v/>
      </c>
      <c r="I56" s="32">
        <f>E56*32</f>
        <v/>
      </c>
      <c r="J56" s="50">
        <f>G56*32</f>
        <v/>
      </c>
      <c r="K56" s="22">
        <f>K55+I56-J56</f>
        <v/>
      </c>
      <c r="L56" s="51" t="inlineStr">
        <is>
          <t>v</t>
        </is>
      </c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101" t="n">
        <v>46092</v>
      </c>
      <c r="B57" s="102" t="inlineStr">
        <is>
          <t>Surfshark</t>
        </is>
      </c>
      <c r="C57" s="103" t="inlineStr">
        <is>
          <t>SURFSHARK-vpn訂閱/年</t>
        </is>
      </c>
      <c r="D57" s="104" t="inlineStr">
        <is>
          <t>一次性</t>
        </is>
      </c>
      <c r="E57" s="105" t="n"/>
      <c r="F57" s="106" t="n"/>
      <c r="G57" s="107" t="n">
        <v>57.41</v>
      </c>
      <c r="H57" s="108">
        <f>H56+E57-F57-G57</f>
        <v/>
      </c>
      <c r="I57" s="32">
        <f>E57*32</f>
        <v/>
      </c>
      <c r="J57" s="21">
        <f>G57*32</f>
        <v/>
      </c>
      <c r="K57" s="22">
        <f>K56+I57-J57</f>
        <v/>
      </c>
      <c r="L57" s="109" t="inlineStr">
        <is>
          <t>v</t>
        </is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101" t="n">
        <v>46092</v>
      </c>
      <c r="B58" s="102" t="inlineStr">
        <is>
          <t>Surfshark</t>
        </is>
      </c>
      <c r="C58" s="103" t="inlineStr">
        <is>
          <t>SURFSHARK-vpn IP/年</t>
        </is>
      </c>
      <c r="D58" s="104" t="inlineStr">
        <is>
          <t>一次性</t>
        </is>
      </c>
      <c r="E58" s="105" t="n"/>
      <c r="F58" s="106" t="n"/>
      <c r="G58" s="107" t="n">
        <v>59.67</v>
      </c>
      <c r="H58" s="108">
        <f>H57+E58-F58-G58</f>
        <v/>
      </c>
      <c r="I58" s="32">
        <f>E58*32</f>
        <v/>
      </c>
      <c r="J58" s="21">
        <f>G58*32</f>
        <v/>
      </c>
      <c r="K58" s="22">
        <f>K57+I58-J58</f>
        <v/>
      </c>
      <c r="L58" s="109" t="inlineStr">
        <is>
          <t>v</t>
        </is>
      </c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101" t="n">
        <v>46092</v>
      </c>
      <c r="B59" s="102" t="inlineStr">
        <is>
          <t>Surfshark</t>
        </is>
      </c>
      <c r="C59" s="103" t="inlineStr">
        <is>
          <t>SURFSHARK（Topup / Transaction）</t>
        </is>
      </c>
      <c r="D59" s="104" t="inlineStr">
        <is>
          <t>一次性</t>
        </is>
      </c>
      <c r="E59" s="105" t="n"/>
      <c r="F59" s="106" t="n"/>
      <c r="G59" s="107" t="n">
        <v>15.25</v>
      </c>
      <c r="H59" s="41">
        <f>H58+E59-F59-G59</f>
        <v/>
      </c>
      <c r="I59" s="32">
        <f>E59*32</f>
        <v/>
      </c>
      <c r="J59" s="21">
        <f>G59*32</f>
        <v/>
      </c>
      <c r="K59" s="22">
        <f>K58+I59-J59</f>
        <v/>
      </c>
      <c r="L59" s="109" t="inlineStr">
        <is>
          <t>v</t>
        </is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83" t="n">
        <v>46099</v>
      </c>
      <c r="B60" s="84" t="inlineStr">
        <is>
          <t>Livechat</t>
        </is>
      </c>
      <c r="C60" s="85" t="inlineStr">
        <is>
          <t>livechat 月費</t>
        </is>
      </c>
      <c r="D60" s="86" t="inlineStr">
        <is>
          <t>固定</t>
        </is>
      </c>
      <c r="E60" s="87" t="n"/>
      <c r="F60" s="88" t="n"/>
      <c r="G60" s="89" t="n">
        <v>8.859999999999999</v>
      </c>
      <c r="H60" s="41">
        <f>H59+E60-F60-G60</f>
        <v/>
      </c>
      <c r="I60" s="32">
        <f>E60*32</f>
        <v/>
      </c>
      <c r="J60" s="21">
        <f>G60*32</f>
        <v/>
      </c>
      <c r="K60" s="22">
        <f>K59+I60-J60</f>
        <v/>
      </c>
      <c r="L60" s="91" t="inlineStr">
        <is>
          <t>v</t>
        </is>
      </c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43" t="n">
        <v>46099</v>
      </c>
      <c r="B61" s="44" t="inlineStr">
        <is>
          <t>平台手續費</t>
        </is>
      </c>
      <c r="C61" s="45" t="inlineStr">
        <is>
          <t>TransactionFee</t>
        </is>
      </c>
      <c r="D61" s="46" t="inlineStr">
        <is>
          <t>變動</t>
        </is>
      </c>
      <c r="E61" s="47" t="n"/>
      <c r="F61" s="48" t="n"/>
      <c r="G61" s="49" t="n">
        <v>0.8</v>
      </c>
      <c r="H61" s="41">
        <f>H60+E61-F61-G61</f>
        <v/>
      </c>
      <c r="I61" s="32">
        <f>E61*32</f>
        <v/>
      </c>
      <c r="J61" s="50">
        <f>G61*32</f>
        <v/>
      </c>
      <c r="K61" s="22">
        <f>K60+I61-J61</f>
        <v/>
      </c>
      <c r="L61" s="51" t="inlineStr">
        <is>
          <t>v</t>
        </is>
      </c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83" t="n">
        <v>46099</v>
      </c>
      <c r="B62" s="84" t="inlineStr">
        <is>
          <t>Livechat</t>
        </is>
      </c>
      <c r="C62" s="85" t="inlineStr">
        <is>
          <t>livechat 月費</t>
        </is>
      </c>
      <c r="D62" s="86" t="inlineStr">
        <is>
          <t>固定</t>
        </is>
      </c>
      <c r="E62" s="87" t="n"/>
      <c r="F62" s="88" t="n"/>
      <c r="G62" s="89" t="n">
        <v>8.859999999999999</v>
      </c>
      <c r="H62" s="41">
        <f>H61+E62-F62-G62</f>
        <v/>
      </c>
      <c r="I62" s="32">
        <f>E62*32</f>
        <v/>
      </c>
      <c r="J62" s="21">
        <f>G62*32</f>
        <v/>
      </c>
      <c r="K62" s="22">
        <f>K61+I62-J62</f>
        <v/>
      </c>
      <c r="L62" s="91" t="inlineStr">
        <is>
          <t>v</t>
        </is>
      </c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52" t="n">
        <v>46099</v>
      </c>
      <c r="B63" s="53" t="inlineStr">
        <is>
          <t>Cursor</t>
        </is>
      </c>
      <c r="C63" s="54" t="inlineStr">
        <is>
          <t>Cursor Pro 月費</t>
        </is>
      </c>
      <c r="D63" s="55" t="inlineStr">
        <is>
          <t>變動</t>
        </is>
      </c>
      <c r="E63" s="56" t="n"/>
      <c r="F63" s="57" t="n"/>
      <c r="G63" s="58" t="n">
        <v>66.8</v>
      </c>
      <c r="H63" s="41">
        <f>H62+E63-F63-G63</f>
        <v/>
      </c>
      <c r="I63" s="32">
        <f>E63*32</f>
        <v/>
      </c>
      <c r="J63" s="21">
        <f>G63*32</f>
        <v/>
      </c>
      <c r="K63" s="22">
        <f>K62+I63-J63</f>
        <v/>
      </c>
      <c r="L63" s="59" t="inlineStr">
        <is>
          <t>v</t>
        </is>
      </c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43" t="n">
        <v>46101</v>
      </c>
      <c r="B64" s="44" t="inlineStr">
        <is>
          <t>平台手續費</t>
        </is>
      </c>
      <c r="C64" s="45" t="inlineStr">
        <is>
          <t>TopupFee</t>
        </is>
      </c>
      <c r="D64" s="46" t="inlineStr">
        <is>
          <t>變動</t>
        </is>
      </c>
      <c r="E64" s="47" t="n"/>
      <c r="F64" s="48" t="n"/>
      <c r="G64" s="49" t="n">
        <v>2.15</v>
      </c>
      <c r="H64" s="41">
        <f>H63+E64-F64-G64</f>
        <v/>
      </c>
      <c r="I64" s="32">
        <f>E64*32</f>
        <v/>
      </c>
      <c r="J64" s="50">
        <f>G64*32</f>
        <v/>
      </c>
      <c r="K64" s="22">
        <f>K63+I64-J64</f>
        <v/>
      </c>
      <c r="L64" s="51" t="inlineStr">
        <is>
          <t>v</t>
        </is>
      </c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38">
      <c r="A65" s="83" t="n">
        <v>46104</v>
      </c>
      <c r="B65" s="84" t="inlineStr">
        <is>
          <t>Livechat</t>
        </is>
      </c>
      <c r="C65" s="85" t="inlineStr">
        <is>
          <t>livechat 月費</t>
        </is>
      </c>
      <c r="D65" s="86" t="inlineStr">
        <is>
          <t>固定</t>
        </is>
      </c>
      <c r="E65" s="87" t="n"/>
      <c r="F65" s="88" t="n"/>
      <c r="G65" s="89" t="n">
        <v>177</v>
      </c>
      <c r="H65" s="69">
        <f>H64+E65-F65-G65</f>
        <v/>
      </c>
      <c r="I65" s="32">
        <f>E65*32</f>
        <v/>
      </c>
      <c r="J65" s="21">
        <f>G65*32</f>
        <v/>
      </c>
      <c r="K65" s="70">
        <f>K64+I65-J65</f>
        <v/>
      </c>
      <c r="L65" s="91" t="inlineStr">
        <is>
          <t>v</t>
        </is>
      </c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83" t="n">
        <v>46104</v>
      </c>
      <c r="B66" s="84" t="inlineStr">
        <is>
          <t>Livechat</t>
        </is>
      </c>
      <c r="C66" s="85" t="inlineStr">
        <is>
          <t>livechat 月費</t>
        </is>
      </c>
      <c r="D66" s="86" t="inlineStr">
        <is>
          <t>固定</t>
        </is>
      </c>
      <c r="E66" s="87" t="n"/>
      <c r="F66" s="88" t="n"/>
      <c r="G66" s="89" t="n">
        <v>5</v>
      </c>
      <c r="H66" s="69">
        <f>H65+E66-F66-G66</f>
        <v/>
      </c>
      <c r="I66" s="32">
        <f>E66*32</f>
        <v/>
      </c>
      <c r="J66" s="21">
        <f>G66*32</f>
        <v/>
      </c>
      <c r="K66" s="70">
        <f>K65+I66-J66</f>
        <v/>
      </c>
      <c r="L66" s="91" t="inlineStr">
        <is>
          <t>v</t>
        </is>
      </c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43" t="n">
        <v>46104</v>
      </c>
      <c r="B67" s="44" t="inlineStr">
        <is>
          <t>平台手續費</t>
        </is>
      </c>
      <c r="C67" s="45" t="inlineStr">
        <is>
          <t>TopupFee</t>
        </is>
      </c>
      <c r="D67" s="46" t="inlineStr">
        <is>
          <t>變動</t>
        </is>
      </c>
      <c r="E67" s="47" t="n"/>
      <c r="F67" s="48" t="n"/>
      <c r="G67" s="49" t="n">
        <v>1.9</v>
      </c>
      <c r="H67" s="69">
        <f>H66+E67-F67-G67</f>
        <v/>
      </c>
      <c r="I67" s="32">
        <f>E67*32</f>
        <v/>
      </c>
      <c r="J67" s="50">
        <f>G67*32</f>
        <v/>
      </c>
      <c r="K67" s="70">
        <f>K66+I67-J67</f>
        <v/>
      </c>
      <c r="L67" s="51" t="inlineStr">
        <is>
          <t>v</t>
        </is>
      </c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43" t="n">
        <v>46104</v>
      </c>
      <c r="B68" s="44" t="inlineStr">
        <is>
          <t>平台手續費</t>
        </is>
      </c>
      <c r="C68" s="45" t="inlineStr">
        <is>
          <t>TopupFee</t>
        </is>
      </c>
      <c r="D68" s="46" t="inlineStr">
        <is>
          <t>變動</t>
        </is>
      </c>
      <c r="E68" s="47" t="n"/>
      <c r="F68" s="48" t="n"/>
      <c r="G68" s="49" t="n">
        <v>1.6</v>
      </c>
      <c r="H68" s="69">
        <f>H67+E68-F68-G68</f>
        <v/>
      </c>
      <c r="I68" s="32">
        <f>E68*32</f>
        <v/>
      </c>
      <c r="J68" s="50">
        <f>G68*32</f>
        <v/>
      </c>
      <c r="K68" s="70">
        <f>K67+I68-J68</f>
        <v/>
      </c>
      <c r="L68" s="51" t="inlineStr">
        <is>
          <t>v</t>
        </is>
      </c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43" t="n">
        <v>46104</v>
      </c>
      <c r="B69" s="44" t="inlineStr">
        <is>
          <t>平台手續費</t>
        </is>
      </c>
      <c r="C69" s="45" t="inlineStr">
        <is>
          <t>TransactionFee</t>
        </is>
      </c>
      <c r="D69" s="46" t="inlineStr">
        <is>
          <t>變動</t>
        </is>
      </c>
      <c r="E69" s="47" t="n"/>
      <c r="F69" s="48" t="n"/>
      <c r="G69" s="49" t="n">
        <v>1.6</v>
      </c>
      <c r="H69" s="69">
        <f>H68+E69-F69-G69</f>
        <v/>
      </c>
      <c r="I69" s="32">
        <f>E69*32</f>
        <v/>
      </c>
      <c r="J69" s="50">
        <f>G69*32</f>
        <v/>
      </c>
      <c r="K69" s="70">
        <f>K68+I69-J69</f>
        <v/>
      </c>
      <c r="L69" s="51" t="inlineStr">
        <is>
          <t>v</t>
        </is>
      </c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12" t="n">
        <v>46111</v>
      </c>
      <c r="B70" s="13" t="n"/>
      <c r="C70" s="14" t="inlineStr">
        <is>
          <t>儲U</t>
        </is>
      </c>
      <c r="D70" s="15" t="inlineStr">
        <is>
          <t>儲值</t>
        </is>
      </c>
      <c r="E70" s="16" t="n">
        <v>1000</v>
      </c>
      <c r="F70" s="17" t="n"/>
      <c r="G70" s="18" t="n"/>
      <c r="H70" s="19">
        <f>H69+E70-F70-G70</f>
        <v/>
      </c>
      <c r="I70" s="20">
        <f>E70*32</f>
        <v/>
      </c>
      <c r="J70" s="21">
        <f>G70*32</f>
        <v/>
      </c>
      <c r="K70" s="22">
        <f>K69+I70-J70</f>
        <v/>
      </c>
      <c r="L70" s="23" t="inlineStr">
        <is>
          <t>v</t>
        </is>
      </c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83" t="n">
        <v>46112</v>
      </c>
      <c r="B71" s="84" t="inlineStr">
        <is>
          <t>Livechat</t>
        </is>
      </c>
      <c r="C71" s="85" t="inlineStr">
        <is>
          <t>livechat 聊天機器人-訂閱</t>
        </is>
      </c>
      <c r="D71" s="86" t="inlineStr">
        <is>
          <t>固定</t>
        </is>
      </c>
      <c r="E71" s="87" t="n"/>
      <c r="F71" s="88" t="n"/>
      <c r="G71" s="89" t="n">
        <v>65</v>
      </c>
      <c r="H71" s="90">
        <f>H70+E71-F71-G71</f>
        <v/>
      </c>
      <c r="I71" s="32">
        <f>E71*32</f>
        <v/>
      </c>
      <c r="J71" s="21">
        <f>G71*32</f>
        <v/>
      </c>
      <c r="K71" s="22">
        <f>K70+I71-J71</f>
        <v/>
      </c>
      <c r="L71" s="91" t="inlineStr">
        <is>
          <t>v</t>
        </is>
      </c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43" t="n">
        <v>46112</v>
      </c>
      <c r="B72" s="44" t="inlineStr">
        <is>
          <t>平台手續費</t>
        </is>
      </c>
      <c r="C72" s="45" t="inlineStr">
        <is>
          <t>TopupFee</t>
        </is>
      </c>
      <c r="D72" s="46" t="inlineStr">
        <is>
          <t>變動</t>
        </is>
      </c>
      <c r="E72" s="47" t="n"/>
      <c r="F72" s="48" t="n"/>
      <c r="G72" s="49" t="n">
        <v>4.9</v>
      </c>
      <c r="H72" s="81">
        <f>H71+E72-F72-G72</f>
        <v/>
      </c>
      <c r="I72" s="32">
        <f>E72*32</f>
        <v/>
      </c>
      <c r="J72" s="50">
        <f>G72*32</f>
        <v/>
      </c>
      <c r="K72" s="22">
        <f>K71+I72-J72</f>
        <v/>
      </c>
      <c r="L72" s="51" t="inlineStr">
        <is>
          <t>v</t>
        </is>
      </c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60" t="inlineStr">
        <is>
          <t>── 2026年03月 小計 ──</t>
        </is>
      </c>
      <c r="B73" s="2" t="n"/>
      <c r="C73" s="2" t="n"/>
      <c r="D73" s="2" t="n"/>
      <c r="E73" s="61" t="n">
        <v>1000</v>
      </c>
      <c r="F73" s="62" t="n">
        <v>21.57</v>
      </c>
      <c r="G73" s="61" t="n">
        <v>518.35</v>
      </c>
      <c r="H73" s="63">
        <f>H72+E73-F73-G73</f>
        <v/>
      </c>
      <c r="I73" s="64">
        <f>E73*32</f>
        <v/>
      </c>
      <c r="J73" s="64">
        <f>G73*32</f>
        <v/>
      </c>
      <c r="K73" s="65">
        <f>K72+I73-J73</f>
        <v/>
      </c>
      <c r="L73" s="66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338">
      <c r="A74" s="10" t="inlineStr">
        <is>
          <t>◀ 2026年 04月 ▶</t>
        </is>
      </c>
      <c r="B74" s="2" t="n"/>
      <c r="C74" s="2" t="n"/>
      <c r="D74" s="2" t="n"/>
      <c r="E74" s="2" t="n"/>
      <c r="F74" s="2" t="n"/>
      <c r="G74" s="2" t="n"/>
      <c r="H74" s="67">
        <f>H73+E74-F74-G74</f>
        <v/>
      </c>
      <c r="I74" s="11">
        <f>E74*32</f>
        <v/>
      </c>
      <c r="J74" s="11">
        <f>G74*32</f>
        <v/>
      </c>
      <c r="K74" s="68">
        <f>K73+I74-J74</f>
        <v/>
      </c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38">
      <c r="A75" s="110" t="n">
        <v>46114</v>
      </c>
      <c r="B75" s="111" t="inlineStr">
        <is>
          <t>Google Cloud</t>
        </is>
      </c>
      <c r="C75" s="112" t="inlineStr">
        <is>
          <t>GOOGLE *CLOUD</t>
        </is>
      </c>
      <c r="D75" s="113" t="inlineStr">
        <is>
          <t>變動</t>
        </is>
      </c>
      <c r="E75" s="114" t="n"/>
      <c r="F75" s="115" t="n"/>
      <c r="G75" s="147" t="n">
        <v>27.26</v>
      </c>
      <c r="H75" s="117">
        <f>H74+E75-F75-G75</f>
        <v/>
      </c>
      <c r="I75" s="32">
        <f>E75*32</f>
        <v/>
      </c>
      <c r="J75" s="21">
        <f>G75*32</f>
        <v/>
      </c>
      <c r="K75" s="22">
        <f>K74+I75-J75</f>
        <v/>
      </c>
      <c r="L75" s="118" t="inlineStr">
        <is>
          <t>v</t>
        </is>
      </c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43" t="n">
        <v>46114</v>
      </c>
      <c r="B76" s="44" t="inlineStr">
        <is>
          <t>平台手續費</t>
        </is>
      </c>
      <c r="C76" s="45" t="inlineStr">
        <is>
          <t>TransactionFee</t>
        </is>
      </c>
      <c r="D76" s="46" t="inlineStr">
        <is>
          <t>變動</t>
        </is>
      </c>
      <c r="E76" s="47" t="n"/>
      <c r="F76" s="48" t="n"/>
      <c r="G76" s="49" t="n">
        <v>1.6</v>
      </c>
      <c r="H76" s="81">
        <f>H75+E76-F76-G76</f>
        <v/>
      </c>
      <c r="I76" s="32">
        <f>E76*32</f>
        <v/>
      </c>
      <c r="J76" s="50">
        <f>G76*32</f>
        <v/>
      </c>
      <c r="K76" s="22">
        <f>K75+I76-J76</f>
        <v/>
      </c>
      <c r="L76" s="51" t="inlineStr">
        <is>
          <t>v</t>
        </is>
      </c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43" t="n">
        <v>46114</v>
      </c>
      <c r="B77" s="44" t="inlineStr">
        <is>
          <t>平台手續費</t>
        </is>
      </c>
      <c r="C77" s="45" t="inlineStr">
        <is>
          <t>TopupFee</t>
        </is>
      </c>
      <c r="D77" s="46" t="inlineStr">
        <is>
          <t>變動</t>
        </is>
      </c>
      <c r="E77" s="47" t="n"/>
      <c r="F77" s="48" t="n"/>
      <c r="G77" s="49" t="n">
        <v>4.55</v>
      </c>
      <c r="H77" s="81">
        <f>H76+E77-F77-G77</f>
        <v/>
      </c>
      <c r="I77" s="32">
        <f>E77*32</f>
        <v/>
      </c>
      <c r="J77" s="50">
        <f>G77*32</f>
        <v/>
      </c>
      <c r="K77" s="22">
        <f>K76+I77-J77</f>
        <v/>
      </c>
      <c r="L77" s="51" t="inlineStr">
        <is>
          <t>v</t>
        </is>
      </c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83" t="n">
        <v>46116</v>
      </c>
      <c r="B78" s="84" t="inlineStr">
        <is>
          <t>Livechat</t>
        </is>
      </c>
      <c r="C78" s="85" t="inlineStr">
        <is>
          <t>livechat 月費(增加席位)</t>
        </is>
      </c>
      <c r="D78" s="86" t="inlineStr">
        <is>
          <t>固定</t>
        </is>
      </c>
      <c r="E78" s="87" t="n"/>
      <c r="F78" s="88" t="n"/>
      <c r="G78" s="89" t="n">
        <v>34.39</v>
      </c>
      <c r="H78" s="90">
        <f>H77+E78-F78-G78</f>
        <v/>
      </c>
      <c r="I78" s="32">
        <f>E78*32</f>
        <v/>
      </c>
      <c r="J78" s="21">
        <f>G78*32</f>
        <v/>
      </c>
      <c r="K78" s="22">
        <f>K77+I78-J78</f>
        <v/>
      </c>
      <c r="L78" s="91" t="inlineStr">
        <is>
          <t>v</t>
        </is>
      </c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71" t="n">
        <v>46119</v>
      </c>
      <c r="B79" s="72" t="inlineStr">
        <is>
          <t>Cloudways</t>
        </is>
      </c>
      <c r="C79" s="73" t="inlineStr">
        <is>
          <t>Cloudways 月費</t>
        </is>
      </c>
      <c r="D79" s="74" t="inlineStr">
        <is>
          <t>固定</t>
        </is>
      </c>
      <c r="E79" s="75" t="n"/>
      <c r="F79" s="76" t="n"/>
      <c r="G79" s="77" t="n">
        <v>54.5</v>
      </c>
      <c r="H79" s="78">
        <f>H78+E79-F79-G79</f>
        <v/>
      </c>
      <c r="I79" s="32">
        <f>E79*32</f>
        <v/>
      </c>
      <c r="J79" s="21">
        <f>G79*32</f>
        <v/>
      </c>
      <c r="K79" s="22">
        <f>K78+I79-J79</f>
        <v/>
      </c>
      <c r="L79" s="79" t="inlineStr">
        <is>
          <t>v</t>
        </is>
      </c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83" t="n">
        <v>46134</v>
      </c>
      <c r="B80" s="84" t="inlineStr">
        <is>
          <t>Livechat</t>
        </is>
      </c>
      <c r="C80" s="85" t="inlineStr">
        <is>
          <t>livechat 月費</t>
        </is>
      </c>
      <c r="D80" s="86" t="inlineStr">
        <is>
          <t>固定</t>
        </is>
      </c>
      <c r="E80" s="87" t="n"/>
      <c r="F80" s="88" t="n"/>
      <c r="G80" s="89" t="n">
        <v>177</v>
      </c>
      <c r="H80" s="90">
        <f>H79+E80-F80-G80</f>
        <v/>
      </c>
      <c r="I80" s="32">
        <f>E80*32</f>
        <v/>
      </c>
      <c r="J80" s="21">
        <f>G80*32</f>
        <v/>
      </c>
      <c r="K80" s="22">
        <f>K79+I80-J80</f>
        <v/>
      </c>
      <c r="L80" s="91" t="inlineStr">
        <is>
          <t>v</t>
        </is>
      </c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43" t="n">
        <v>46134</v>
      </c>
      <c r="B81" s="44" t="inlineStr">
        <is>
          <t>平台手續費</t>
        </is>
      </c>
      <c r="C81" s="45" t="inlineStr">
        <is>
          <t>TopupFee</t>
        </is>
      </c>
      <c r="D81" s="46" t="inlineStr">
        <is>
          <t>變動</t>
        </is>
      </c>
      <c r="E81" s="47" t="n"/>
      <c r="F81" s="48" t="n"/>
      <c r="G81" s="49" t="n">
        <v>7</v>
      </c>
      <c r="H81" s="81">
        <f>H80+E81-F81-G81</f>
        <v/>
      </c>
      <c r="I81" s="32">
        <f>E81*32</f>
        <v/>
      </c>
      <c r="J81" s="50">
        <f>G81*32</f>
        <v/>
      </c>
      <c r="K81" s="22">
        <f>K80+I81-J81</f>
        <v/>
      </c>
      <c r="L81" s="51" t="inlineStr">
        <is>
          <t>v</t>
        </is>
      </c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43" t="n">
        <v>46139</v>
      </c>
      <c r="B82" s="44" t="inlineStr">
        <is>
          <t>平台手續費</t>
        </is>
      </c>
      <c r="C82" s="45" t="inlineStr">
        <is>
          <t>TransactionFee</t>
        </is>
      </c>
      <c r="D82" s="46" t="inlineStr">
        <is>
          <t>變動</t>
        </is>
      </c>
      <c r="E82" s="47" t="n"/>
      <c r="F82" s="48" t="n"/>
      <c r="G82" s="49" t="n">
        <v>0.4</v>
      </c>
      <c r="H82" s="81">
        <f>H81+E82-F82-G82</f>
        <v/>
      </c>
      <c r="I82" s="32">
        <f>E82*32</f>
        <v/>
      </c>
      <c r="J82" s="50">
        <f>G82*32</f>
        <v/>
      </c>
      <c r="K82" s="22">
        <f>K81+I82-J82</f>
        <v/>
      </c>
      <c r="L82" s="51" t="inlineStr">
        <is>
          <t>v</t>
        </is>
      </c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43" t="n">
        <v>46139</v>
      </c>
      <c r="B83" s="44" t="inlineStr">
        <is>
          <t>平台手續費</t>
        </is>
      </c>
      <c r="C83" s="45" t="inlineStr">
        <is>
          <t>TopupFee</t>
        </is>
      </c>
      <c r="D83" s="46" t="inlineStr">
        <is>
          <t>變動</t>
        </is>
      </c>
      <c r="E83" s="47" t="n"/>
      <c r="F83" s="48" t="n"/>
      <c r="G83" s="49" t="n">
        <v>7.98</v>
      </c>
      <c r="H83" s="81">
        <f>H82+E83-F83-G83</f>
        <v/>
      </c>
      <c r="I83" s="32">
        <f>E83*32</f>
        <v/>
      </c>
      <c r="J83" s="50">
        <f>G83*32</f>
        <v/>
      </c>
      <c r="K83" s="22">
        <f>K82+I83-J83</f>
        <v/>
      </c>
      <c r="L83" s="51" t="inlineStr">
        <is>
          <t>v</t>
        </is>
      </c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83" t="n">
        <v>46139</v>
      </c>
      <c r="B84" s="84" t="inlineStr">
        <is>
          <t>Livechat</t>
        </is>
      </c>
      <c r="C84" s="85" t="inlineStr">
        <is>
          <t>livechat 聊天機器人-訂閱</t>
        </is>
      </c>
      <c r="D84" s="86" t="inlineStr">
        <is>
          <t>固定</t>
        </is>
      </c>
      <c r="E84" s="87" t="n"/>
      <c r="F84" s="88" t="n"/>
      <c r="G84" s="89" t="n">
        <v>65</v>
      </c>
      <c r="H84" s="90">
        <f>H83+E84-F84-G84</f>
        <v/>
      </c>
      <c r="I84" s="32">
        <f>E84*32</f>
        <v/>
      </c>
      <c r="J84" s="21">
        <f>G84*32</f>
        <v/>
      </c>
      <c r="K84" s="22">
        <f>K83+I84-J84</f>
        <v/>
      </c>
      <c r="L84" s="91" t="inlineStr">
        <is>
          <t>v</t>
        </is>
      </c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110" t="n">
        <v>46139</v>
      </c>
      <c r="B85" s="111" t="inlineStr">
        <is>
          <t>Google Cloud</t>
        </is>
      </c>
      <c r="C85" s="112" t="inlineStr">
        <is>
          <t>GOOGLE *SERVICES</t>
        </is>
      </c>
      <c r="D85" s="113" t="inlineStr">
        <is>
          <t>變動</t>
        </is>
      </c>
      <c r="E85" s="114" t="n"/>
      <c r="F85" s="115" t="n"/>
      <c r="G85" s="147" t="n">
        <v>14.8</v>
      </c>
      <c r="H85" s="117">
        <f>H84+E85-F85-G85</f>
        <v/>
      </c>
      <c r="I85" s="32">
        <f>E85*32</f>
        <v/>
      </c>
      <c r="J85" s="21">
        <f>G85*32</f>
        <v/>
      </c>
      <c r="K85" s="22">
        <f>K84+I85-J85</f>
        <v/>
      </c>
      <c r="L85" s="118" t="inlineStr">
        <is>
          <t>v</t>
        </is>
      </c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110" t="n">
        <v>46139</v>
      </c>
      <c r="B86" s="111" t="inlineStr">
        <is>
          <t>Google Cloud</t>
        </is>
      </c>
      <c r="C86" s="112" t="inlineStr">
        <is>
          <t>GOOGLE *CLOUD</t>
        </is>
      </c>
      <c r="D86" s="113" t="inlineStr">
        <is>
          <t>變動</t>
        </is>
      </c>
      <c r="E86" s="114" t="n"/>
      <c r="F86" s="115" t="n"/>
      <c r="G86" s="147" t="n">
        <v>73.98</v>
      </c>
      <c r="H86" s="117">
        <f>H85+E86-F86-G86</f>
        <v/>
      </c>
      <c r="I86" s="32">
        <f>E86*32</f>
        <v/>
      </c>
      <c r="J86" s="21">
        <f>G86*32</f>
        <v/>
      </c>
      <c r="K86" s="22">
        <f>K85+I86-J86</f>
        <v/>
      </c>
      <c r="L86" s="118" t="inlineStr">
        <is>
          <t>v</t>
        </is>
      </c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43" t="n">
        <v>46139</v>
      </c>
      <c r="B87" s="44" t="inlineStr">
        <is>
          <t>平台手續費</t>
        </is>
      </c>
      <c r="C87" s="45" t="inlineStr">
        <is>
          <t>TransactionFee</t>
        </is>
      </c>
      <c r="D87" s="46" t="inlineStr">
        <is>
          <t>變動</t>
        </is>
      </c>
      <c r="E87" s="47" t="n"/>
      <c r="F87" s="48" t="n"/>
      <c r="G87" s="49" t="n">
        <v>15.89</v>
      </c>
      <c r="H87" s="81">
        <f>H86+E87-F87-G87</f>
        <v/>
      </c>
      <c r="I87" s="32">
        <f>E87*32</f>
        <v/>
      </c>
      <c r="J87" s="50">
        <f>G87*32</f>
        <v/>
      </c>
      <c r="K87" s="22">
        <f>K86+I87-J87</f>
        <v/>
      </c>
      <c r="L87" s="51" t="inlineStr">
        <is>
          <t>v</t>
        </is>
      </c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119" t="n">
        <v>46139</v>
      </c>
      <c r="B88" s="120" t="inlineStr">
        <is>
          <t>Tron</t>
        </is>
      </c>
      <c r="C88" s="121" t="inlineStr">
        <is>
          <t>Tron</t>
        </is>
      </c>
      <c r="D88" s="122" t="inlineStr">
        <is>
          <t>變動</t>
        </is>
      </c>
      <c r="E88" s="123" t="n"/>
      <c r="F88" s="124" t="n"/>
      <c r="G88" s="125" t="n">
        <v>24.5</v>
      </c>
      <c r="H88" s="126">
        <f>H87+E88-F88-G88</f>
        <v/>
      </c>
      <c r="I88" s="32">
        <f>E88*32</f>
        <v/>
      </c>
      <c r="J88" s="21">
        <f>G88*32</f>
        <v/>
      </c>
      <c r="K88" s="22">
        <f>K87+I88-J88</f>
        <v/>
      </c>
      <c r="L88" s="127" t="inlineStr">
        <is>
          <t>v</t>
        </is>
      </c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92" t="n">
        <v>46140</v>
      </c>
      <c r="B89" s="93" t="inlineStr">
        <is>
          <t>Zeabur</t>
        </is>
      </c>
      <c r="C89" s="94" t="inlineStr">
        <is>
          <t>Zeabur 月費</t>
        </is>
      </c>
      <c r="D89" s="95" t="inlineStr">
        <is>
          <t>固定</t>
        </is>
      </c>
      <c r="E89" s="96" t="n"/>
      <c r="F89" s="97" t="n"/>
      <c r="G89" s="98" t="n">
        <v>5</v>
      </c>
      <c r="H89" s="99">
        <f>H88+E89-F89-G89</f>
        <v/>
      </c>
      <c r="I89" s="32">
        <f>E89*32</f>
        <v/>
      </c>
      <c r="J89" s="21">
        <f>G89*32</f>
        <v/>
      </c>
      <c r="K89" s="22">
        <f>K88+I89-J89</f>
        <v/>
      </c>
      <c r="L89" s="100" t="inlineStr">
        <is>
          <t>v</t>
        </is>
      </c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43" t="n">
        <v>46140</v>
      </c>
      <c r="B90" s="44" t="inlineStr">
        <is>
          <t>平台手續費</t>
        </is>
      </c>
      <c r="C90" s="45" t="inlineStr">
        <is>
          <t>TransactionFee</t>
        </is>
      </c>
      <c r="D90" s="46" t="inlineStr">
        <is>
          <t>變動</t>
        </is>
      </c>
      <c r="E90" s="47" t="n"/>
      <c r="F90" s="48" t="n"/>
      <c r="G90" s="49" t="n">
        <v>7.99</v>
      </c>
      <c r="H90" s="81">
        <f>H89+E90-F90-G90</f>
        <v/>
      </c>
      <c r="I90" s="32">
        <f>E90*32</f>
        <v/>
      </c>
      <c r="J90" s="50">
        <f>G90*32</f>
        <v/>
      </c>
      <c r="K90" s="22">
        <f>K89+I90-J90</f>
        <v/>
      </c>
      <c r="L90" s="51" t="inlineStr">
        <is>
          <t>v</t>
        </is>
      </c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60" t="inlineStr">
        <is>
          <t>── 2026年04月 小計 ──</t>
        </is>
      </c>
      <c r="B91" s="2" t="n"/>
      <c r="C91" s="2" t="n"/>
      <c r="D91" s="2" t="n"/>
      <c r="E91" s="61" t="n"/>
      <c r="F91" s="62" t="n">
        <v>45.41</v>
      </c>
      <c r="G91" s="61" t="n">
        <v>476.43</v>
      </c>
      <c r="H91" s="63">
        <f>H90+E91-F91-G91</f>
        <v/>
      </c>
      <c r="I91" s="64">
        <f>E91*32</f>
        <v/>
      </c>
      <c r="J91" s="64">
        <f>G91*32</f>
        <v/>
      </c>
      <c r="K91" s="65">
        <f>K90+I91-J91</f>
        <v/>
      </c>
      <c r="L91" s="66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338">
      <c r="A92" s="10" t="inlineStr">
        <is>
          <t>◀ 2026年 05月 ▶</t>
        </is>
      </c>
      <c r="B92" s="2" t="n"/>
      <c r="C92" s="2" t="n"/>
      <c r="D92" s="2" t="n"/>
      <c r="E92" s="2" t="n"/>
      <c r="F92" s="2" t="n"/>
      <c r="G92" s="2" t="n"/>
      <c r="H92" s="67">
        <f>H91+E92-F92-G92</f>
        <v/>
      </c>
      <c r="I92" s="11">
        <f>E92*32</f>
        <v/>
      </c>
      <c r="J92" s="11">
        <f>G92*32</f>
        <v/>
      </c>
      <c r="K92" s="68">
        <f>K91+I92-J92</f>
        <v/>
      </c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71" t="n">
        <v>46143</v>
      </c>
      <c r="B93" s="72" t="inlineStr">
        <is>
          <t>Cloudways</t>
        </is>
      </c>
      <c r="C93" s="73" t="inlineStr">
        <is>
          <t>Cloudways 月費</t>
        </is>
      </c>
      <c r="D93" s="74" t="inlineStr">
        <is>
          <t>固定</t>
        </is>
      </c>
      <c r="E93" s="75" t="n"/>
      <c r="F93" s="76" t="n"/>
      <c r="G93" s="77" t="n">
        <v>54.5</v>
      </c>
      <c r="H93" s="78">
        <f>H92+E93-F93-G93</f>
        <v/>
      </c>
      <c r="I93" s="32">
        <f>E93*32</f>
        <v/>
      </c>
      <c r="J93" s="21">
        <f>G93*32</f>
        <v/>
      </c>
      <c r="K93" s="22">
        <f>K92+I93-J93</f>
        <v/>
      </c>
      <c r="L93" s="79" t="inlineStr">
        <is>
          <t>v</t>
        </is>
      </c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110" t="n">
        <v>46144</v>
      </c>
      <c r="B94" s="111" t="inlineStr">
        <is>
          <t>Google Cloud</t>
        </is>
      </c>
      <c r="C94" s="112" t="inlineStr">
        <is>
          <t>GOOGLE *CLOUD</t>
        </is>
      </c>
      <c r="D94" s="113" t="inlineStr">
        <is>
          <t>變動</t>
        </is>
      </c>
      <c r="E94" s="114" t="n"/>
      <c r="F94" s="115" t="n"/>
      <c r="G94" s="147" t="n">
        <v>16.81</v>
      </c>
      <c r="H94" s="117">
        <f>H93+E94-F94-G94</f>
        <v/>
      </c>
      <c r="I94" s="32">
        <f>E94*32</f>
        <v/>
      </c>
      <c r="J94" s="21">
        <f>G94*32</f>
        <v/>
      </c>
      <c r="K94" s="22">
        <f>K93+I94-J94</f>
        <v/>
      </c>
      <c r="L94" s="118" t="inlineStr">
        <is>
          <t>v</t>
        </is>
      </c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34" t="n">
        <v>46156</v>
      </c>
      <c r="B95" s="35" t="inlineStr">
        <is>
          <t>網域/域名</t>
        </is>
      </c>
      <c r="C95" s="138" t="inlineStr">
        <is>
          <t>網域ys89.me 7.27 U</t>
        </is>
      </c>
      <c r="D95" s="37" t="inlineStr">
        <is>
          <t>一次性</t>
        </is>
      </c>
      <c r="E95" s="38" t="n"/>
      <c r="F95" s="39" t="n"/>
      <c r="G95" s="139" t="n">
        <v>40.6</v>
      </c>
      <c r="H95" s="80">
        <f>H94+E95-F95-G95</f>
        <v/>
      </c>
      <c r="I95" s="32">
        <f>E95*32</f>
        <v/>
      </c>
      <c r="J95" s="21">
        <f>G95*32</f>
        <v/>
      </c>
      <c r="K95" s="22">
        <f>K94+I95-J95</f>
        <v/>
      </c>
      <c r="L95" s="42" t="inlineStr">
        <is>
          <t>v</t>
        </is>
      </c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34" t="n">
        <v>46156</v>
      </c>
      <c r="B96" s="35" t="inlineStr">
        <is>
          <t>網域/域名</t>
        </is>
      </c>
      <c r="C96" s="138" t="inlineStr">
        <is>
          <t>網域ys89.info 5.68 U</t>
        </is>
      </c>
      <c r="D96" s="37" t="inlineStr">
        <is>
          <t>一次性</t>
        </is>
      </c>
      <c r="E96" s="38" t="n"/>
      <c r="F96" s="39" t="n"/>
      <c r="G96" s="139" t="n"/>
      <c r="H96" s="80">
        <f>H95+E96-F96-G96</f>
        <v/>
      </c>
      <c r="I96" s="32">
        <f>E96*32</f>
        <v/>
      </c>
      <c r="J96" s="21">
        <f>G96*32</f>
        <v/>
      </c>
      <c r="K96" s="22">
        <f>K95+I96-J96</f>
        <v/>
      </c>
      <c r="L96" s="42" t="inlineStr">
        <is>
          <t>v</t>
        </is>
      </c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34" t="n">
        <v>46156</v>
      </c>
      <c r="B97" s="35" t="inlineStr">
        <is>
          <t>網域/域名</t>
        </is>
      </c>
      <c r="C97" s="138" t="inlineStr">
        <is>
          <t>網域ys89.biz 12.03 U</t>
        </is>
      </c>
      <c r="D97" s="37" t="inlineStr">
        <is>
          <t>一次性</t>
        </is>
      </c>
      <c r="E97" s="38" t="n"/>
      <c r="F97" s="39" t="n"/>
      <c r="G97" s="139" t="n"/>
      <c r="H97" s="80">
        <f>H96+E97-F97-G97</f>
        <v/>
      </c>
      <c r="I97" s="32">
        <f>E97*32</f>
        <v/>
      </c>
      <c r="J97" s="21">
        <f>G97*32</f>
        <v/>
      </c>
      <c r="K97" s="22">
        <f>K96+I97-J97</f>
        <v/>
      </c>
      <c r="L97" s="42" t="inlineStr">
        <is>
          <t>v</t>
        </is>
      </c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34" t="n">
        <v>46156</v>
      </c>
      <c r="B98" s="35" t="inlineStr">
        <is>
          <t>網域/域名</t>
        </is>
      </c>
      <c r="C98" s="138" t="inlineStr">
        <is>
          <t>網域ys89.games 10.00 U</t>
        </is>
      </c>
      <c r="D98" s="37" t="inlineStr">
        <is>
          <t>一次性</t>
        </is>
      </c>
      <c r="E98" s="38" t="n"/>
      <c r="F98" s="39" t="n"/>
      <c r="G98" s="139" t="n"/>
      <c r="H98" s="80">
        <f>H97+E98-F98-G98</f>
        <v/>
      </c>
      <c r="I98" s="32">
        <f>E98*32</f>
        <v/>
      </c>
      <c r="J98" s="21">
        <f>G98*32</f>
        <v/>
      </c>
      <c r="K98" s="22">
        <f>K97+I98-J98</f>
        <v/>
      </c>
      <c r="L98" s="42" t="inlineStr">
        <is>
          <t>v</t>
        </is>
      </c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128" t="n">
        <v>46157</v>
      </c>
      <c r="B99" s="129" t="inlineStr">
        <is>
          <t>WEBSHARE</t>
        </is>
      </c>
      <c r="C99" s="130" t="inlineStr">
        <is>
          <t>WEBSHARE-10條IP(新加坡*5香港*5)</t>
        </is>
      </c>
      <c r="D99" s="131" t="inlineStr">
        <is>
          <t>一次性</t>
        </is>
      </c>
      <c r="E99" s="132" t="n"/>
      <c r="F99" s="133" t="n"/>
      <c r="G99" s="134" t="n">
        <v>33.3</v>
      </c>
      <c r="H99" s="41">
        <f>H98+E99-F99-G99</f>
        <v/>
      </c>
      <c r="I99" s="32">
        <f>E99*32</f>
        <v/>
      </c>
      <c r="J99" s="21">
        <f>G99*32</f>
        <v/>
      </c>
      <c r="K99" s="22">
        <f>K98+I99-J99</f>
        <v/>
      </c>
      <c r="L99" s="135" t="inlineStr">
        <is>
          <t>v</t>
        </is>
      </c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34" t="n">
        <v>46160</v>
      </c>
      <c r="B100" s="35" t="inlineStr">
        <is>
          <t>網域/域名</t>
        </is>
      </c>
      <c r="C100" s="138" t="inlineStr">
        <is>
          <t>網域fifa-worldcups.tw 世足棧</t>
        </is>
      </c>
      <c r="D100" s="37" t="inlineStr">
        <is>
          <t>一次性</t>
        </is>
      </c>
      <c r="E100" s="38" t="n"/>
      <c r="F100" s="39" t="n"/>
      <c r="G100" s="139" t="n">
        <v>28.94</v>
      </c>
      <c r="H100" s="41">
        <f>H99+E100-F100-G100</f>
        <v/>
      </c>
      <c r="I100" s="32">
        <f>E100*32</f>
        <v/>
      </c>
      <c r="J100" s="21">
        <f>G100*32</f>
        <v/>
      </c>
      <c r="K100" s="22">
        <f>K99+I100-J100</f>
        <v/>
      </c>
      <c r="L100" s="42" t="inlineStr">
        <is>
          <t>v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34" t="n">
        <v>46161</v>
      </c>
      <c r="B101" s="35" t="inlineStr">
        <is>
          <t>網域/域名</t>
        </is>
      </c>
      <c r="C101" s="138" t="inlineStr">
        <is>
          <t>網域hipgreenscene.com(20+網址)</t>
        </is>
      </c>
      <c r="D101" s="37" t="inlineStr">
        <is>
          <t>一次性</t>
        </is>
      </c>
      <c r="E101" s="38" t="n"/>
      <c r="F101" s="39" t="n"/>
      <c r="G101" s="139" t="n">
        <v>43.81</v>
      </c>
      <c r="H101" s="41">
        <f>H100+E101-F101-G101</f>
        <v/>
      </c>
      <c r="I101" s="32">
        <f>E101*32</f>
        <v/>
      </c>
      <c r="J101" s="21">
        <f>G101*32</f>
        <v/>
      </c>
      <c r="K101" s="22">
        <f>K100+I101-J101</f>
        <v/>
      </c>
      <c r="L101" s="42" t="inlineStr">
        <is>
          <t>v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34" t="n">
        <v>46161</v>
      </c>
      <c r="B102" s="35" t="inlineStr">
        <is>
          <t>網域/域名</t>
        </is>
      </c>
      <c r="C102" s="138" t="inlineStr">
        <is>
          <t>網域deckmatt.com(20+網址)</t>
        </is>
      </c>
      <c r="D102" s="37" t="inlineStr">
        <is>
          <t>一次性</t>
        </is>
      </c>
      <c r="E102" s="38" t="n"/>
      <c r="F102" s="39" t="n"/>
      <c r="G102" s="139" t="n"/>
      <c r="H102" s="41">
        <f>H101+E102-F102-G102</f>
        <v/>
      </c>
      <c r="I102" s="32">
        <f>E102*32</f>
        <v/>
      </c>
      <c r="J102" s="21">
        <f>G102*32</f>
        <v/>
      </c>
      <c r="K102" s="22">
        <f>K101+I102-J102</f>
        <v/>
      </c>
      <c r="L102" s="42" t="inlineStr">
        <is>
          <t>v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34" t="n">
        <v>46161</v>
      </c>
      <c r="B103" s="35" t="inlineStr">
        <is>
          <t>網域/域名</t>
        </is>
      </c>
      <c r="C103" s="138" t="inlineStr">
        <is>
          <t>網域adviseist.com(20+網址)</t>
        </is>
      </c>
      <c r="D103" s="37" t="inlineStr">
        <is>
          <t>一次性</t>
        </is>
      </c>
      <c r="E103" s="38" t="n"/>
      <c r="F103" s="39" t="n"/>
      <c r="G103" s="139" t="n"/>
      <c r="H103" s="41">
        <f>H102+E103-F103-G103</f>
        <v/>
      </c>
      <c r="I103" s="32">
        <f>E103*32</f>
        <v/>
      </c>
      <c r="J103" s="21">
        <f>G103*32</f>
        <v/>
      </c>
      <c r="K103" s="22">
        <f>K102+I103-J103</f>
        <v/>
      </c>
      <c r="L103" s="42" t="inlineStr">
        <is>
          <t>v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34" t="n">
        <v>46167</v>
      </c>
      <c r="B104" s="35" t="inlineStr">
        <is>
          <t>網域/域名</t>
        </is>
      </c>
      <c r="C104" s="138" t="inlineStr">
        <is>
          <t>網域worldgoals.live 直播</t>
        </is>
      </c>
      <c r="D104" s="37" t="inlineStr">
        <is>
          <t>一次性</t>
        </is>
      </c>
      <c r="E104" s="38" t="n"/>
      <c r="F104" s="39" t="n"/>
      <c r="G104" s="139" t="n">
        <v>3.64</v>
      </c>
      <c r="H104" s="41">
        <f>H103+E104-F104-G104</f>
        <v/>
      </c>
      <c r="I104" s="136">
        <f>E104*32</f>
        <v/>
      </c>
      <c r="J104" s="136">
        <f>G104*32</f>
        <v/>
      </c>
      <c r="K104" s="137">
        <f>K103+I104-J104</f>
        <v/>
      </c>
      <c r="L104" s="42" t="inlineStr">
        <is>
          <t>v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83" t="n">
        <v>46168</v>
      </c>
      <c r="B105" s="84" t="inlineStr">
        <is>
          <t>Livechat</t>
        </is>
      </c>
      <c r="C105" s="85" t="inlineStr">
        <is>
          <t>livechat 聊天機器人-訂閱</t>
        </is>
      </c>
      <c r="D105" s="86" t="inlineStr">
        <is>
          <t>固定</t>
        </is>
      </c>
      <c r="E105" s="87" t="n"/>
      <c r="F105" s="88" t="n"/>
      <c r="G105" s="89" t="n">
        <v>65</v>
      </c>
      <c r="H105" s="41">
        <f>H104+E105-F105-G105</f>
        <v/>
      </c>
      <c r="I105" s="136">
        <f>E105*32</f>
        <v/>
      </c>
      <c r="J105" s="136">
        <f>G105*32</f>
        <v/>
      </c>
      <c r="K105" s="137">
        <f>K104+I105-J105</f>
        <v/>
      </c>
      <c r="L105" s="42" t="inlineStr">
        <is>
          <t>v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12" t="n">
        <v>46168</v>
      </c>
      <c r="B106" s="13" t="n"/>
      <c r="C106" s="14" t="inlineStr">
        <is>
          <t>儲U</t>
        </is>
      </c>
      <c r="D106" s="15" t="inlineStr">
        <is>
          <t>儲值</t>
        </is>
      </c>
      <c r="E106" s="16" t="n">
        <v>2000</v>
      </c>
      <c r="F106" s="17" t="n"/>
      <c r="G106" s="18" t="n"/>
      <c r="H106" s="41">
        <f>H105+E106-F106-G106</f>
        <v/>
      </c>
      <c r="I106" s="20">
        <f>E106*32</f>
        <v/>
      </c>
      <c r="J106" s="136">
        <f>G106*32</f>
        <v/>
      </c>
      <c r="K106" s="137">
        <f>K105+I106-J106</f>
        <v/>
      </c>
      <c r="L106" s="42" t="inlineStr">
        <is>
          <t>v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83" t="n">
        <v>46168</v>
      </c>
      <c r="B107" s="84" t="inlineStr">
        <is>
          <t>Livechat</t>
        </is>
      </c>
      <c r="C107" s="85" t="inlineStr">
        <is>
          <t>livechat 月費</t>
        </is>
      </c>
      <c r="D107" s="86" t="inlineStr">
        <is>
          <t>固定</t>
        </is>
      </c>
      <c r="E107" s="87" t="n"/>
      <c r="F107" s="88" t="n"/>
      <c r="G107" s="89" t="n">
        <v>177</v>
      </c>
      <c r="H107" s="41">
        <f>H106+E107-F107-G107</f>
        <v/>
      </c>
      <c r="I107" s="20">
        <f>E107*32</f>
        <v/>
      </c>
      <c r="J107" s="136">
        <f>G107*32</f>
        <v/>
      </c>
      <c r="K107" s="137">
        <f>K106+I107-J107</f>
        <v/>
      </c>
      <c r="L107" s="42" t="inlineStr">
        <is>
          <t>v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34" t="n">
        <v>46168</v>
      </c>
      <c r="B108" s="35" t="inlineStr">
        <is>
          <t>網域/域名</t>
        </is>
      </c>
      <c r="C108" s="138" t="inlineStr">
        <is>
          <t>網域https://pansurihotel.com PBN站 給世足賽跟主論壇提升排名用</t>
        </is>
      </c>
      <c r="D108" s="37" t="inlineStr">
        <is>
          <t>一次性</t>
        </is>
      </c>
      <c r="E108" s="38" t="n"/>
      <c r="F108" s="39" t="n"/>
      <c r="G108" s="139" t="n">
        <v>14.72</v>
      </c>
      <c r="H108" s="41">
        <f>H107+E108-F108-G108</f>
        <v/>
      </c>
      <c r="I108" s="20">
        <f>E108*32</f>
        <v/>
      </c>
      <c r="J108" s="136">
        <f>G108*32</f>
        <v/>
      </c>
      <c r="K108" s="137">
        <f>K107+I108-J108</f>
        <v/>
      </c>
      <c r="L108" s="42" t="inlineStr">
        <is>
          <t>v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34" t="n">
        <v>46168</v>
      </c>
      <c r="B109" s="35" t="inlineStr">
        <is>
          <t>網域/域名</t>
        </is>
      </c>
      <c r="C109" s="138" t="inlineStr">
        <is>
          <t>網域http://plainjanedesigners.com/ PBN站 給世足賽跟主論壇提升排名用</t>
        </is>
      </c>
      <c r="D109" s="37" t="inlineStr">
        <is>
          <t>一次性</t>
        </is>
      </c>
      <c r="E109" s="38" t="n"/>
      <c r="F109" s="39" t="n"/>
      <c r="G109" s="139" t="n">
        <v>14.72</v>
      </c>
      <c r="H109" s="41">
        <f>H108+E109-F109-G109</f>
        <v/>
      </c>
      <c r="I109" s="20">
        <f>E109*32</f>
        <v/>
      </c>
      <c r="J109" s="136">
        <f>G109*32</f>
        <v/>
      </c>
      <c r="K109" s="137">
        <f>K108+I109-J109</f>
        <v/>
      </c>
      <c r="L109" s="42" t="inlineStr">
        <is>
          <t>v</t>
        </is>
      </c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34" t="n">
        <v>46168</v>
      </c>
      <c r="B110" s="35" t="inlineStr">
        <is>
          <t>網域/域名</t>
        </is>
      </c>
      <c r="C110" s="138" t="inlineStr">
        <is>
          <t>網域bolalive77.com PBN站 給世足賽跟主論壇提升排名用</t>
        </is>
      </c>
      <c r="D110" s="37" t="inlineStr">
        <is>
          <t>一次性</t>
        </is>
      </c>
      <c r="E110" s="38" t="n"/>
      <c r="F110" s="39" t="n"/>
      <c r="G110" s="139" t="n">
        <v>14.72</v>
      </c>
      <c r="H110" s="41">
        <f>H109+E110-F110-G110</f>
        <v/>
      </c>
      <c r="I110" s="20">
        <f>E110*32</f>
        <v/>
      </c>
      <c r="J110" s="136">
        <f>G110*32</f>
        <v/>
      </c>
      <c r="K110" s="137">
        <f>K109+I110-J110</f>
        <v/>
      </c>
      <c r="L110" s="42" t="inlineStr">
        <is>
          <t>v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140" t="n">
        <v>46168</v>
      </c>
      <c r="B111" s="141" t="inlineStr">
        <is>
          <t>短網址</t>
        </is>
      </c>
      <c r="C111" s="142" t="inlineStr">
        <is>
          <t>LI HAI</t>
        </is>
      </c>
      <c r="D111" s="143" t="inlineStr">
        <is>
          <t>固定</t>
        </is>
      </c>
      <c r="E111" s="146" t="n"/>
      <c r="F111" s="145" t="n"/>
      <c r="G111" s="146" t="n">
        <v>10.77</v>
      </c>
      <c r="H111" s="41">
        <f>H110+E111-F111-G111</f>
        <v/>
      </c>
      <c r="I111" s="20">
        <f>E111*32</f>
        <v/>
      </c>
      <c r="J111" s="136">
        <f>G111*32</f>
        <v/>
      </c>
      <c r="K111" s="137">
        <f>K110+I111-J111</f>
        <v/>
      </c>
      <c r="L111" s="42" t="inlineStr">
        <is>
          <t>v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34" t="n">
        <v>46169</v>
      </c>
      <c r="B112" s="35" t="inlineStr">
        <is>
          <t>網域/域名</t>
        </is>
      </c>
      <c r="C112" s="138" t="inlineStr">
        <is>
          <t>ys89.tw 品牌A站 目標建立 轉換</t>
        </is>
      </c>
      <c r="D112" s="37" t="inlineStr">
        <is>
          <t>一次性</t>
        </is>
      </c>
      <c r="E112" s="38" t="n"/>
      <c r="F112" s="39" t="n"/>
      <c r="G112" s="139" t="n">
        <v>19.48</v>
      </c>
      <c r="H112" s="41">
        <f>H111+E112-F112-G112</f>
        <v/>
      </c>
      <c r="I112" s="20">
        <f>E112*32</f>
        <v/>
      </c>
      <c r="J112" s="136">
        <f>G112*32</f>
        <v/>
      </c>
      <c r="K112" s="137">
        <f>K111+I112-J112</f>
        <v/>
      </c>
      <c r="L112" s="42" t="inlineStr">
        <is>
          <t>v</t>
        </is>
      </c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34" t="n">
        <v>46169</v>
      </c>
      <c r="B113" s="35" t="inlineStr">
        <is>
          <t>網域/域名</t>
        </is>
      </c>
      <c r="C113" s="138" t="inlineStr">
        <is>
          <t>ys89tw.com 品牌b站 目標建立 信任</t>
        </is>
      </c>
      <c r="D113" s="37" t="inlineStr">
        <is>
          <t>一次性</t>
        </is>
      </c>
      <c r="E113" s="38" t="n"/>
      <c r="F113" s="39" t="n"/>
      <c r="G113" s="139" t="n">
        <v>19.48</v>
      </c>
      <c r="H113" s="41">
        <f>H112+E113-F113-G113</f>
        <v/>
      </c>
      <c r="I113" s="20">
        <f>E113*32</f>
        <v/>
      </c>
      <c r="J113" s="136">
        <f>G113*32</f>
        <v/>
      </c>
      <c r="K113" s="137">
        <f>K112+I113-J113</f>
        <v/>
      </c>
      <c r="L113" s="42" t="inlineStr">
        <is>
          <t>v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34" t="n">
        <v>46169</v>
      </c>
      <c r="B114" s="35" t="inlineStr">
        <is>
          <t>網域/域名</t>
        </is>
      </c>
      <c r="C114" s="138" t="inlineStr">
        <is>
          <t>168ys89.com 品牌C站 佔領其他關鍵字(待確認)</t>
        </is>
      </c>
      <c r="D114" s="37" t="inlineStr">
        <is>
          <t>一次性</t>
        </is>
      </c>
      <c r="E114" s="38" t="n"/>
      <c r="F114" s="39" t="n"/>
      <c r="G114" s="139" t="n">
        <v>19.48</v>
      </c>
      <c r="H114" s="41">
        <f>H113+E114-F114-G114</f>
        <v/>
      </c>
      <c r="I114" s="20">
        <f>E114*32</f>
        <v/>
      </c>
      <c r="J114" s="136">
        <f>G114*32</f>
        <v/>
      </c>
      <c r="K114" s="137">
        <f>K113+I114-J114</f>
        <v/>
      </c>
      <c r="L114" s="42" t="inlineStr">
        <is>
          <t>v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110" t="n">
        <v>46170</v>
      </c>
      <c r="B115" s="111" t="inlineStr">
        <is>
          <t>Google Cloud</t>
        </is>
      </c>
      <c r="C115" s="112" t="inlineStr">
        <is>
          <t>GOOGLE *SERVICES</t>
        </is>
      </c>
      <c r="D115" s="113" t="n"/>
      <c r="E115" s="114" t="n"/>
      <c r="F115" s="115" t="n"/>
      <c r="G115" s="147" t="n">
        <v>22.63</v>
      </c>
      <c r="H115" s="41">
        <f>H111+E115-F115-G115</f>
        <v/>
      </c>
      <c r="I115" s="20">
        <f>E115*32</f>
        <v/>
      </c>
      <c r="J115" s="136">
        <f>G115*32</f>
        <v/>
      </c>
      <c r="K115" s="137">
        <f>K111+I115-J115</f>
        <v/>
      </c>
      <c r="L115" s="42" t="inlineStr">
        <is>
          <t>v</t>
        </is>
      </c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148" t="n"/>
      <c r="B116" s="148" t="n"/>
      <c r="C116" s="148" t="n"/>
      <c r="D116" s="148" t="n"/>
      <c r="E116" s="149" t="n"/>
      <c r="F116" s="150" t="n"/>
      <c r="G116" s="149" t="n"/>
      <c r="H116" s="151" t="n"/>
      <c r="I116" s="152" t="n"/>
      <c r="J116" s="136" t="n"/>
      <c r="K116" s="137">
        <f>K115+I116-J116</f>
        <v/>
      </c>
      <c r="L116" s="42" t="inlineStr">
        <is>
          <t>v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153" t="n"/>
      <c r="B117" s="153" t="n"/>
      <c r="C117" s="153" t="n"/>
      <c r="D117" s="153" t="n"/>
      <c r="E117" s="154" t="n"/>
      <c r="F117" s="155" t="n"/>
      <c r="G117" s="154" t="n"/>
      <c r="H117" s="156">
        <f>H105+E117-F117-G117</f>
        <v/>
      </c>
      <c r="I117" s="136">
        <f>E117*32</f>
        <v/>
      </c>
      <c r="J117" s="136">
        <f>G117*32</f>
        <v/>
      </c>
      <c r="K117" s="137">
        <f>K105+I117-J117</f>
        <v/>
      </c>
      <c r="L117" s="42" t="inlineStr">
        <is>
          <t>v</t>
        </is>
      </c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60" t="inlineStr">
        <is>
          <t>── 2026年05月 小計 ──</t>
        </is>
      </c>
      <c r="B118" s="2" t="n"/>
      <c r="C118" s="2" t="n"/>
      <c r="D118" s="2" t="n"/>
      <c r="E118" s="61" t="n"/>
      <c r="F118" s="62" t="n"/>
      <c r="G118" s="61" t="n">
        <v>217.96</v>
      </c>
      <c r="H118" s="63">
        <f>H117+E118-F118-G118</f>
        <v/>
      </c>
      <c r="I118" s="64">
        <f>E118*32</f>
        <v/>
      </c>
      <c r="J118" s="64">
        <f>G118*32</f>
        <v/>
      </c>
      <c r="K118" s="65">
        <f>K117+I118-J118</f>
        <v/>
      </c>
      <c r="L118" s="66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9.5" customHeight="1" s="338">
      <c r="A119" s="157" t="inlineStr">
        <is>
          <t>■ 全期合計</t>
        </is>
      </c>
      <c r="B119" s="2" t="n"/>
      <c r="C119" s="2" t="n"/>
      <c r="D119" s="2" t="n"/>
      <c r="E119" s="158" t="n">
        <v>3000</v>
      </c>
      <c r="F119" s="159" t="n">
        <v>123.84</v>
      </c>
      <c r="G119" s="160" t="n">
        <v>2673.43</v>
      </c>
      <c r="H119" s="160">
        <f>H118+E119-F119-G119</f>
        <v/>
      </c>
      <c r="I119" s="161">
        <f>E119*32</f>
        <v/>
      </c>
      <c r="J119" s="161">
        <f>G119*32</f>
        <v/>
      </c>
      <c r="K119" s="162">
        <f>K118+I119-J119</f>
        <v/>
      </c>
      <c r="L119" s="163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67">
        <f>H119+E120-F120-G120</f>
        <v/>
      </c>
      <c r="I120" s="11">
        <f>E120*32</f>
        <v/>
      </c>
      <c r="J120" s="11">
        <f>G120*32</f>
        <v/>
      </c>
      <c r="K120" s="68">
        <f>K119+I120-J120</f>
        <v/>
      </c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164" t="inlineStr">
        <is>
          <t>⚠ 餘額預警：紅底 &lt; 100U   橙底 &lt; 300U   ｜   費用性質：固定=月租訂閱、變動=用量計費、一次性=買斷/年費</t>
        </is>
      </c>
      <c r="B121" s="2" t="n"/>
      <c r="C121" s="2" t="n"/>
      <c r="D121" s="2" t="n"/>
      <c r="E121" s="2" t="n"/>
      <c r="F121" s="2" t="n"/>
      <c r="G121" s="2" t="n"/>
      <c r="H121" s="67">
        <f>H120+E121-F121-G121</f>
        <v/>
      </c>
      <c r="I121" s="11">
        <f>E121*32</f>
        <v/>
      </c>
      <c r="J121" s="11">
        <f>G121*32</f>
        <v/>
      </c>
      <c r="K121" s="68">
        <f>K120+I121-J121</f>
        <v/>
      </c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165" t="inlineStr">
        <is>
          <t>全期合計</t>
        </is>
      </c>
      <c r="C123" s="2" t="n"/>
      <c r="D123" s="2" t="n"/>
      <c r="E123" s="165">
        <f>SUM(E3:E121)</f>
        <v/>
      </c>
      <c r="F123" s="165">
        <f>SUM(F3:F121)</f>
        <v/>
      </c>
      <c r="G123" s="165">
        <f>SUM(G3:G121)</f>
        <v/>
      </c>
      <c r="H123" s="165" t="n"/>
      <c r="I123" s="165">
        <f>SUM(I3:I121)</f>
        <v/>
      </c>
      <c r="J123" s="165">
        <f>SUM(J3:J121)</f>
        <v/>
      </c>
      <c r="K123" s="165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33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338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 ht="15.75" customHeight="1" s="338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 ht="15.75" customHeight="1" s="338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 ht="15.75" customHeight="1" s="338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 ht="15.75" customHeight="1" s="338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 ht="15.75" customHeight="1" s="338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 ht="15.75" customHeight="1" s="33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 ht="15.75" customHeight="1" s="338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3" customWidth="1" style="338" min="1" max="1"/>
    <col width="11" customWidth="1" style="338" min="2" max="2"/>
    <col width="12" customWidth="1" style="338" min="3" max="3"/>
    <col width="11" customWidth="1" style="338" min="4" max="4"/>
    <col width="28" customWidth="1" style="338" min="5" max="5"/>
    <col width="10" customWidth="1" style="338" min="6" max="7"/>
    <col width="13" customWidth="1" style="338" min="8" max="9"/>
    <col width="10" customWidth="1" style="338" min="10" max="10"/>
  </cols>
  <sheetData>
    <row r="1" ht="27.75" customHeight="1" s="338">
      <c r="A1" s="341" t="inlineStr">
        <is>
          <t>YS 業主費用報表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338">
      <c r="A2" s="342" t="inlineStr">
        <is>
          <t>統計期間：2025-11 ～ 2026-05　　幣別：USDT　　匯率：1 USDT = 32 TWD　　製表日：2026-05-24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38">
      <c r="A4" s="343" t="inlineStr">
        <is>
          <t>▌ 一、儲值記錄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 s="338">
      <c r="A5" s="9" t="inlineStr">
        <is>
          <t>儲值日期</t>
        </is>
      </c>
      <c r="B5" s="9" t="inlineStr">
        <is>
          <t>儲值金額(U)</t>
        </is>
      </c>
      <c r="C5" s="9" t="inlineStr">
        <is>
          <t>折算台幣(TWD)</t>
        </is>
      </c>
      <c r="D5" s="344" t="inlineStr">
        <is>
          <t>備註</t>
        </is>
      </c>
      <c r="E5" s="345" t="n"/>
      <c r="F5" s="345" t="n"/>
      <c r="G5" s="34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38">
      <c r="A6" s="391" t="n">
        <v>45979</v>
      </c>
      <c r="B6" s="392" t="n">
        <v>1000</v>
      </c>
      <c r="C6" s="393" t="n">
        <v>32000</v>
      </c>
      <c r="D6" s="394" t="inlineStr">
        <is>
          <t>USDT 充值</t>
        </is>
      </c>
      <c r="E6" s="428" t="n"/>
      <c r="F6" s="428" t="n"/>
      <c r="G6" s="427" t="n"/>
      <c r="H6" s="396" t="n"/>
      <c r="I6" s="396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.5" customHeight="1" s="338">
      <c r="A7" s="391" t="n">
        <v>46027</v>
      </c>
      <c r="B7" s="392" t="n">
        <v>1000</v>
      </c>
      <c r="C7" s="393" t="n">
        <v>32000</v>
      </c>
      <c r="D7" s="394" t="inlineStr">
        <is>
          <t>USDT 充值</t>
        </is>
      </c>
      <c r="E7" s="428" t="n"/>
      <c r="F7" s="428" t="n"/>
      <c r="G7" s="427" t="n"/>
      <c r="H7" s="396" t="n"/>
      <c r="I7" s="39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6.5" customHeight="1" s="338">
      <c r="A8" s="391" t="n">
        <v>46111</v>
      </c>
      <c r="B8" s="392" t="n">
        <v>1000</v>
      </c>
      <c r="C8" s="393" t="n">
        <v>32000</v>
      </c>
      <c r="D8" s="394" t="inlineStr">
        <is>
          <t>USDT 充值</t>
        </is>
      </c>
      <c r="E8" s="428" t="n"/>
      <c r="F8" s="428" t="n"/>
      <c r="G8" s="427" t="n"/>
      <c r="H8" s="396" t="n"/>
      <c r="I8" s="396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8" customHeight="1" s="338">
      <c r="A9" s="397" t="inlineStr">
        <is>
          <t>合計</t>
        </is>
      </c>
      <c r="B9" s="398" t="n">
        <v>3000</v>
      </c>
      <c r="C9" s="399" t="n">
        <v>96000</v>
      </c>
      <c r="D9" s="400" t="n"/>
      <c r="E9" s="428" t="n"/>
      <c r="F9" s="428" t="n"/>
      <c r="G9" s="427" t="n"/>
      <c r="H9" s="396" t="n"/>
      <c r="I9" s="396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396" t="n"/>
      <c r="B10" s="396" t="n"/>
      <c r="C10" s="396" t="n"/>
      <c r="D10" s="396" t="n"/>
      <c r="E10" s="396" t="n"/>
      <c r="F10" s="396" t="n"/>
      <c r="G10" s="396" t="n"/>
      <c r="H10" s="396" t="n"/>
      <c r="I10" s="396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9.5" customHeight="1" s="338">
      <c r="A11" s="401" t="inlineStr">
        <is>
          <t>▌ 二、費用分類彙總（不含平台手續費）</t>
        </is>
      </c>
      <c r="B11" s="428" t="n"/>
      <c r="C11" s="428" t="n"/>
      <c r="D11" s="428" t="n"/>
      <c r="E11" s="428" t="n"/>
      <c r="F11" s="428" t="n"/>
      <c r="G11" s="428" t="n"/>
      <c r="H11" s="428" t="n"/>
      <c r="I11" s="428" t="n"/>
      <c r="J11" s="427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8" customHeight="1" s="338">
      <c r="A12" s="402" t="inlineStr">
        <is>
          <t>服務/App</t>
        </is>
      </c>
      <c r="B12" s="427" t="n"/>
      <c r="C12" s="402" t="inlineStr">
        <is>
          <t>費用說明</t>
        </is>
      </c>
      <c r="D12" s="427" t="n"/>
      <c r="E12" s="403" t="inlineStr">
        <is>
          <t>費用性質</t>
        </is>
      </c>
      <c r="F12" s="403" t="inlineStr">
        <is>
          <t>筆數</t>
        </is>
      </c>
      <c r="G12" s="404" t="inlineStr">
        <is>
          <t>總金額(U)</t>
        </is>
      </c>
      <c r="H12" s="404" t="inlineStr">
        <is>
          <t>總金額(TWD)</t>
        </is>
      </c>
      <c r="I12" s="403" t="inlineStr">
        <is>
          <t>佔比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38">
      <c r="A13" s="405" t="inlineStr">
        <is>
          <t>Cursor</t>
        </is>
      </c>
      <c r="B13" s="427" t="n"/>
      <c r="C13" s="406" t="inlineStr">
        <is>
          <t>AI 程式開發工具（訂閱+用量）</t>
        </is>
      </c>
      <c r="D13" s="427" t="n"/>
      <c r="E13" s="407" t="inlineStr">
        <is>
          <t>變動</t>
        </is>
      </c>
      <c r="F13" s="408" t="n">
        <v>9</v>
      </c>
      <c r="G13" s="409" t="n">
        <v>278.08</v>
      </c>
      <c r="H13" s="410" t="n">
        <v>8898.559999999999</v>
      </c>
      <c r="I13" s="411" t="n">
        <v>0.104016188940799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38">
      <c r="A14" s="405" t="inlineStr">
        <is>
          <t>Cloudways</t>
        </is>
      </c>
      <c r="B14" s="427" t="n"/>
      <c r="C14" s="406" t="inlineStr">
        <is>
          <t>雲端主機/伺服器 (月租)</t>
        </is>
      </c>
      <c r="D14" s="427" t="n"/>
      <c r="E14" s="407" t="inlineStr">
        <is>
          <t>固定</t>
        </is>
      </c>
      <c r="F14" s="408" t="n">
        <v>5</v>
      </c>
      <c r="G14" s="409" t="n">
        <v>258.76</v>
      </c>
      <c r="H14" s="410" t="n">
        <v>8280.32</v>
      </c>
      <c r="I14" s="411" t="n">
        <v>0.0967895175860224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6.5" customHeight="1" s="338">
      <c r="A15" s="405" t="inlineStr">
        <is>
          <t>Livechat</t>
        </is>
      </c>
      <c r="B15" s="427" t="n"/>
      <c r="C15" s="406" t="inlineStr">
        <is>
          <t>線上客服系統 (月租+席位)</t>
        </is>
      </c>
      <c r="D15" s="427" t="n"/>
      <c r="E15" s="407" t="inlineStr">
        <is>
          <t>固定</t>
        </is>
      </c>
      <c r="F15" s="408" t="n">
        <v>12</v>
      </c>
      <c r="G15" s="409" t="n">
        <v>790.11</v>
      </c>
      <c r="H15" s="410" t="n">
        <v>25283.52</v>
      </c>
      <c r="I15" s="411" t="n">
        <v>0.295541682407993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6.5" customHeight="1" s="338">
      <c r="A16" s="405" t="inlineStr">
        <is>
          <t>Zeabur</t>
        </is>
      </c>
      <c r="B16" s="427" t="n"/>
      <c r="C16" s="406" t="inlineStr">
        <is>
          <t>應用程式部署平台 (月租)</t>
        </is>
      </c>
      <c r="D16" s="427" t="n"/>
      <c r="E16" s="407" t="inlineStr">
        <is>
          <t>固定</t>
        </is>
      </c>
      <c r="F16" s="408" t="n">
        <v>3</v>
      </c>
      <c r="G16" s="409" t="n">
        <v>15</v>
      </c>
      <c r="H16" s="410" t="n">
        <v>480</v>
      </c>
      <c r="I16" s="411" t="n">
        <v>0.00561076968538544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6.5" customHeight="1" s="338">
      <c r="A17" s="405" t="inlineStr">
        <is>
          <t>Surfshark</t>
        </is>
      </c>
      <c r="B17" s="427" t="n"/>
      <c r="C17" s="406" t="inlineStr">
        <is>
          <t>VPN 服務 (年費)</t>
        </is>
      </c>
      <c r="D17" s="427" t="n"/>
      <c r="E17" s="407" t="inlineStr">
        <is>
          <t>一次性</t>
        </is>
      </c>
      <c r="F17" s="408" t="n">
        <v>3</v>
      </c>
      <c r="G17" s="409" t="n">
        <v>132.33</v>
      </c>
      <c r="H17" s="410" t="n">
        <v>4234.56</v>
      </c>
      <c r="I17" s="411" t="n">
        <v>0.0494982101644703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6.5" customHeight="1" s="338">
      <c r="A18" s="405" t="inlineStr">
        <is>
          <t>網域/域名</t>
        </is>
      </c>
      <c r="B18" s="427" t="n"/>
      <c r="C18" s="406" t="inlineStr">
        <is>
          <t>網域名稱購買/續費</t>
        </is>
      </c>
      <c r="D18" s="427" t="n"/>
      <c r="E18" s="407" t="inlineStr">
        <is>
          <t>一次性</t>
        </is>
      </c>
      <c r="F18" s="408" t="n">
        <v>13</v>
      </c>
      <c r="G18" s="409" t="n">
        <v>996.15</v>
      </c>
      <c r="H18" s="410" t="n">
        <v>31876.8</v>
      </c>
      <c r="I18" s="411" t="n">
        <v>0.372611214806447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6.5" customHeight="1" s="338">
      <c r="A19" s="405" t="inlineStr">
        <is>
          <t>Google Cloud</t>
        </is>
      </c>
      <c r="B19" s="427" t="n"/>
      <c r="C19" s="406" t="inlineStr">
        <is>
          <t>Google 雲端服務</t>
        </is>
      </c>
      <c r="D19" s="427" t="n"/>
      <c r="E19" s="407" t="inlineStr">
        <is>
          <t>變動</t>
        </is>
      </c>
      <c r="F19" s="408" t="n">
        <v>4</v>
      </c>
      <c r="G19" s="409" t="n">
        <v>132.85</v>
      </c>
      <c r="H19" s="410" t="n">
        <v>4251.2</v>
      </c>
      <c r="I19" s="411" t="n">
        <v>0.049692716846897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6.5" customHeight="1" s="338">
      <c r="A20" s="405" t="inlineStr">
        <is>
          <t>WEBSHARE</t>
        </is>
      </c>
      <c r="B20" s="427" t="n"/>
      <c r="C20" s="406" t="inlineStr">
        <is>
          <t>代理 IP 服務</t>
        </is>
      </c>
      <c r="D20" s="427" t="n"/>
      <c r="E20" s="407" t="inlineStr">
        <is>
          <t>一次性</t>
        </is>
      </c>
      <c r="F20" s="408" t="n">
        <v>1</v>
      </c>
      <c r="G20" s="409" t="n">
        <v>33.3</v>
      </c>
      <c r="H20" s="410" t="n">
        <v>1065.6</v>
      </c>
      <c r="I20" s="411" t="n">
        <v>0.0124559087015557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6.5" customHeight="1" s="338">
      <c r="A21" s="405" t="inlineStr">
        <is>
          <t>Tron</t>
        </is>
      </c>
      <c r="B21" s="427" t="n"/>
      <c r="C21" s="406" t="inlineStr">
        <is>
          <t>Tron 區塊鏈費用</t>
        </is>
      </c>
      <c r="D21" s="427" t="n"/>
      <c r="E21" s="407" t="inlineStr">
        <is>
          <t>變動</t>
        </is>
      </c>
      <c r="F21" s="408" t="n">
        <v>1</v>
      </c>
      <c r="G21" s="409" t="n">
        <v>24.5</v>
      </c>
      <c r="H21" s="410" t="n">
        <v>784</v>
      </c>
      <c r="I21" s="411" t="n">
        <v>0.00916425715279622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6.5" customHeight="1" s="338">
      <c r="A22" s="412" t="inlineStr">
        <is>
          <t>LIHI</t>
        </is>
      </c>
      <c r="B22" s="427" t="n"/>
      <c r="C22" s="406" t="inlineStr">
        <is>
          <t>短連結/綁網域用</t>
        </is>
      </c>
      <c r="D22" s="427" t="n"/>
      <c r="E22" s="407" t="inlineStr">
        <is>
          <t>固定</t>
        </is>
      </c>
      <c r="F22" s="408" t="n">
        <v>1</v>
      </c>
      <c r="G22" s="409" t="n">
        <v>10.77</v>
      </c>
      <c r="H22" s="410" t="n">
        <v>45</v>
      </c>
      <c r="I22" s="411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6.5" customHeight="1" s="338">
      <c r="A23" s="412" t="inlineStr">
        <is>
          <t>開卡費</t>
        </is>
      </c>
      <c r="B23" s="427" t="n"/>
      <c r="C23" s="406" t="inlineStr">
        <is>
          <t>虛擬卡開卡費用</t>
        </is>
      </c>
      <c r="D23" s="427" t="n"/>
      <c r="E23" s="407" t="inlineStr">
        <is>
          <t>一次性</t>
        </is>
      </c>
      <c r="F23" s="408" t="n">
        <v>1</v>
      </c>
      <c r="G23" s="409" t="n">
        <v>12.35</v>
      </c>
      <c r="H23" s="410" t="n">
        <v>395.2</v>
      </c>
      <c r="I23" s="411" t="n">
        <v>0.00461953370763401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9.5" customHeight="1" s="338">
      <c r="A24" s="413" t="inlineStr">
        <is>
          <t>總計支出（不含手續費）</t>
        </is>
      </c>
      <c r="B24" s="428" t="n"/>
      <c r="C24" s="428" t="n"/>
      <c r="D24" s="428" t="n"/>
      <c r="E24" s="428" t="n"/>
      <c r="F24" s="427" t="n"/>
      <c r="G24" s="414" t="n">
        <v>2673.43</v>
      </c>
      <c r="H24" s="415" t="n">
        <v>85549.75999999999</v>
      </c>
      <c r="I24" s="416" t="n">
        <v>1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417" t="inlineStr">
        <is>
          <t>（另計）平台手續費</t>
        </is>
      </c>
      <c r="B25" s="428" t="n"/>
      <c r="C25" s="428" t="n"/>
      <c r="D25" s="428" t="n"/>
      <c r="E25" s="428" t="n"/>
      <c r="F25" s="427" t="n"/>
      <c r="G25" s="418" t="n">
        <v>123.84</v>
      </c>
      <c r="H25" s="419" t="n">
        <v>3962.88</v>
      </c>
      <c r="I25" s="400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9.5" customHeight="1" s="338">
      <c r="A26" s="420" t="inlineStr">
        <is>
          <t>現金淨結餘 (儲值 − 總支出 − 手續費)</t>
        </is>
      </c>
      <c r="B26" s="428" t="n"/>
      <c r="C26" s="428" t="n"/>
      <c r="D26" s="428" t="n"/>
      <c r="E26" s="428" t="n"/>
      <c r="F26" s="427" t="n"/>
      <c r="G26" s="421" t="n">
        <v>202.729999999999</v>
      </c>
      <c r="H26" s="422" t="n">
        <v>6487.35999999998</v>
      </c>
      <c r="I26" s="400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396" t="n"/>
      <c r="B27" s="396" t="n"/>
      <c r="C27" s="396" t="n"/>
      <c r="D27" s="396" t="n"/>
      <c r="E27" s="396" t="n"/>
      <c r="F27" s="396" t="n"/>
      <c r="G27" s="396" t="n"/>
      <c r="H27" s="396" t="n"/>
      <c r="I27" s="396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9.5" customHeight="1" s="338">
      <c r="A28" s="401" t="inlineStr">
        <is>
          <t>▌ 三、逐月費用明細（按分類展開）</t>
        </is>
      </c>
      <c r="B28" s="428" t="n"/>
      <c r="C28" s="428" t="n"/>
      <c r="D28" s="428" t="n"/>
      <c r="E28" s="428" t="n"/>
      <c r="F28" s="428" t="n"/>
      <c r="G28" s="428" t="n"/>
      <c r="H28" s="428" t="n"/>
      <c r="I28" s="428" t="n"/>
      <c r="J28" s="427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8" customHeight="1" s="338">
      <c r="A29" s="403" t="inlineStr">
        <is>
          <t>日期</t>
        </is>
      </c>
      <c r="B29" s="403" t="inlineStr">
        <is>
          <t>分類</t>
        </is>
      </c>
      <c r="C29" s="427" t="n"/>
      <c r="D29" s="402" t="inlineStr">
        <is>
          <t>說明</t>
        </is>
      </c>
      <c r="E29" s="428" t="n"/>
      <c r="F29" s="428" t="n"/>
      <c r="G29" s="427" t="n"/>
      <c r="H29" s="404" t="inlineStr">
        <is>
          <t>金額(U)</t>
        </is>
      </c>
      <c r="I29" s="404" t="inlineStr">
        <is>
          <t>金額(TWD)</t>
        </is>
      </c>
      <c r="J29" s="183" t="inlineStr">
        <is>
          <t>費用性質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3.5" customHeight="1" s="338">
      <c r="A30" s="423" t="inlineStr">
        <is>
          <t>── 2025年 11月 ──</t>
        </is>
      </c>
      <c r="B30" s="428" t="n"/>
      <c r="C30" s="428" t="n"/>
      <c r="D30" s="428" t="n"/>
      <c r="E30" s="428" t="n"/>
      <c r="F30" s="428" t="n"/>
      <c r="G30" s="428" t="n"/>
      <c r="H30" s="428" t="n"/>
      <c r="I30" s="428" t="n"/>
      <c r="J30" s="427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391" t="n">
        <v>45979</v>
      </c>
      <c r="B31" s="424" t="inlineStr">
        <is>
          <t>開卡費</t>
        </is>
      </c>
      <c r="C31" s="427" t="n"/>
      <c r="D31" s="406" t="inlineStr">
        <is>
          <t>開卡費</t>
        </is>
      </c>
      <c r="E31" s="428" t="n"/>
      <c r="F31" s="428" t="n"/>
      <c r="G31" s="427" t="n"/>
      <c r="H31" s="425" t="n">
        <v>12.35</v>
      </c>
      <c r="I31" s="426" t="n">
        <v>395.2</v>
      </c>
      <c r="J31" s="233" t="inlineStr">
        <is>
          <t>一次性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391" t="n">
        <v>45980</v>
      </c>
      <c r="B32" s="424" t="inlineStr">
        <is>
          <t>網域/域名</t>
        </is>
      </c>
      <c r="C32" s="427" t="n"/>
      <c r="D32" s="406" t="inlineStr">
        <is>
          <t>購買網域YS89.com</t>
        </is>
      </c>
      <c r="E32" s="428" t="n"/>
      <c r="F32" s="428" t="n"/>
      <c r="G32" s="427" t="n"/>
      <c r="H32" s="425" t="n">
        <v>795.04</v>
      </c>
      <c r="I32" s="426" t="n">
        <v>25441.28</v>
      </c>
      <c r="J32" s="37" t="inlineStr">
        <is>
          <t>一次性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391" t="n">
        <v>45989</v>
      </c>
      <c r="B33" s="424" t="inlineStr">
        <is>
          <t>Cursor</t>
        </is>
      </c>
      <c r="C33" s="427" t="n"/>
      <c r="D33" s="406" t="inlineStr">
        <is>
          <t>Cursor Pro 月費</t>
        </is>
      </c>
      <c r="E33" s="428" t="n"/>
      <c r="F33" s="428" t="n"/>
      <c r="G33" s="427" t="n"/>
      <c r="H33" s="425" t="n">
        <v>21.4</v>
      </c>
      <c r="I33" s="426" t="n">
        <v>684.8</v>
      </c>
      <c r="J33" s="55" t="inlineStr">
        <is>
          <t>變動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3.5" customHeight="1" s="338">
      <c r="A34" s="423" t="inlineStr">
        <is>
          <t>── 2025年 12月 ──</t>
        </is>
      </c>
      <c r="B34" s="428" t="n"/>
      <c r="C34" s="428" t="n"/>
      <c r="D34" s="428" t="n"/>
      <c r="E34" s="428" t="n"/>
      <c r="F34" s="428" t="n"/>
      <c r="G34" s="428" t="n"/>
      <c r="H34" s="428" t="n"/>
      <c r="I34" s="428" t="n"/>
      <c r="J34" s="427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391" t="n">
        <v>46015</v>
      </c>
      <c r="B35" s="424" t="inlineStr">
        <is>
          <t>網域/域名</t>
        </is>
      </c>
      <c r="C35" s="427" t="n"/>
      <c r="D35" s="406" t="inlineStr">
        <is>
          <t>網域YS89.win-$17.51</t>
        </is>
      </c>
      <c r="E35" s="428" t="n"/>
      <c r="F35" s="428" t="n"/>
      <c r="G35" s="427" t="n"/>
      <c r="H35" s="425" t="n">
        <v>63.15</v>
      </c>
      <c r="I35" s="426" t="n">
        <v>2020.8</v>
      </c>
      <c r="J35" s="37" t="inlineStr">
        <is>
          <t>一次性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391" t="n">
        <v>46019</v>
      </c>
      <c r="B36" s="424" t="inlineStr">
        <is>
          <t>Cursor</t>
        </is>
      </c>
      <c r="C36" s="427" t="n"/>
      <c r="D36" s="406" t="inlineStr">
        <is>
          <t>Cursor Pro 月費</t>
        </is>
      </c>
      <c r="E36" s="428" t="n"/>
      <c r="F36" s="428" t="n"/>
      <c r="G36" s="427" t="n"/>
      <c r="H36" s="425" t="n">
        <v>21.4</v>
      </c>
      <c r="I36" s="426" t="n">
        <v>684.8</v>
      </c>
      <c r="J36" s="55" t="inlineStr">
        <is>
          <t>變動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391" t="n">
        <v>46020</v>
      </c>
      <c r="B37" s="424" t="inlineStr">
        <is>
          <t>Cursor</t>
        </is>
      </c>
      <c r="C37" s="427" t="n"/>
      <c r="D37" s="406" t="inlineStr">
        <is>
          <t>CursorCursor Token 使用費</t>
        </is>
      </c>
      <c r="E37" s="428" t="n"/>
      <c r="F37" s="428" t="n"/>
      <c r="G37" s="427" t="n"/>
      <c r="H37" s="425" t="n">
        <v>20.11</v>
      </c>
      <c r="I37" s="426" t="n">
        <v>643.52</v>
      </c>
      <c r="J37" s="55" t="inlineStr">
        <is>
          <t>變動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3.5" customHeight="1" s="338">
      <c r="A38" s="423" t="inlineStr">
        <is>
          <t>── 2026年 01月 ──</t>
        </is>
      </c>
      <c r="B38" s="428" t="n"/>
      <c r="C38" s="428" t="n"/>
      <c r="D38" s="428" t="n"/>
      <c r="E38" s="428" t="n"/>
      <c r="F38" s="428" t="n"/>
      <c r="G38" s="428" t="n"/>
      <c r="H38" s="428" t="n"/>
      <c r="I38" s="428" t="n"/>
      <c r="J38" s="427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391" t="n">
        <v>46028</v>
      </c>
      <c r="B39" s="424" t="inlineStr">
        <is>
          <t>Cloudways</t>
        </is>
      </c>
      <c r="C39" s="427" t="n"/>
      <c r="D39" s="406" t="inlineStr">
        <is>
          <t>Cloudways 月費</t>
        </is>
      </c>
      <c r="E39" s="428" t="n"/>
      <c r="F39" s="428" t="n"/>
      <c r="G39" s="427" t="n"/>
      <c r="H39" s="425" t="n">
        <v>40.76</v>
      </c>
      <c r="I39" s="426" t="n">
        <v>1304.32</v>
      </c>
      <c r="J39" s="74" t="inlineStr">
        <is>
          <t>固定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391" t="n">
        <v>46029</v>
      </c>
      <c r="B40" s="424" t="inlineStr">
        <is>
          <t>網域/域名</t>
        </is>
      </c>
      <c r="C40" s="427" t="n"/>
      <c r="D40" s="406" t="inlineStr">
        <is>
          <t>購買網域16888win.com</t>
        </is>
      </c>
      <c r="E40" s="428" t="n"/>
      <c r="F40" s="428" t="n"/>
      <c r="G40" s="427" t="n"/>
      <c r="H40" s="425" t="n">
        <v>24.61</v>
      </c>
      <c r="I40" s="426" t="n">
        <v>787.52</v>
      </c>
      <c r="J40" s="37" t="inlineStr">
        <is>
          <t>一次性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38">
      <c r="A41" s="391" t="n">
        <v>46030</v>
      </c>
      <c r="B41" s="424" t="inlineStr">
        <is>
          <t>Cursor</t>
        </is>
      </c>
      <c r="C41" s="427" t="n"/>
      <c r="D41" s="406" t="inlineStr">
        <is>
          <t>CursorCursor Token 使用費</t>
        </is>
      </c>
      <c r="E41" s="428" t="n"/>
      <c r="F41" s="428" t="n"/>
      <c r="G41" s="427" t="n"/>
      <c r="H41" s="425" t="n">
        <v>22.69</v>
      </c>
      <c r="I41" s="426" t="n">
        <v>726.08</v>
      </c>
      <c r="J41" s="55" t="inlineStr">
        <is>
          <t>變動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391" t="n">
        <v>46031</v>
      </c>
      <c r="B42" s="424" t="inlineStr">
        <is>
          <t>Cursor</t>
        </is>
      </c>
      <c r="C42" s="427" t="n"/>
      <c r="D42" s="406" t="inlineStr">
        <is>
          <t>CursorCursor Token 使用費</t>
        </is>
      </c>
      <c r="E42" s="428" t="n"/>
      <c r="F42" s="428" t="n"/>
      <c r="G42" s="427" t="n"/>
      <c r="H42" s="425" t="n">
        <v>43.19</v>
      </c>
      <c r="I42" s="426" t="n">
        <v>1382.08</v>
      </c>
      <c r="J42" s="55" t="inlineStr">
        <is>
          <t>變動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391" t="n">
        <v>46044</v>
      </c>
      <c r="B43" s="424" t="inlineStr">
        <is>
          <t>Livechat</t>
        </is>
      </c>
      <c r="C43" s="427" t="n"/>
      <c r="D43" s="406" t="inlineStr">
        <is>
          <t>livechat 月費-帳號</t>
        </is>
      </c>
      <c r="E43" s="428" t="n"/>
      <c r="F43" s="428" t="n"/>
      <c r="G43" s="427" t="n"/>
      <c r="H43" s="425" t="n">
        <v>60</v>
      </c>
      <c r="I43" s="426" t="n">
        <v>1920</v>
      </c>
      <c r="J43" s="86" t="inlineStr">
        <is>
          <t>固定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391" t="n">
        <v>46048</v>
      </c>
      <c r="B44" s="424" t="inlineStr">
        <is>
          <t>Livechat</t>
        </is>
      </c>
      <c r="C44" s="427" t="n"/>
      <c r="D44" s="406" t="inlineStr">
        <is>
          <t>livechat 聊天機器人-訂閱</t>
        </is>
      </c>
      <c r="E44" s="428" t="n"/>
      <c r="F44" s="428" t="n"/>
      <c r="G44" s="427" t="n"/>
      <c r="H44" s="425" t="n">
        <v>65</v>
      </c>
      <c r="I44" s="426" t="n">
        <v>2080</v>
      </c>
      <c r="J44" s="86" t="inlineStr">
        <is>
          <t>固定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391" t="n">
        <v>46050</v>
      </c>
      <c r="B45" s="424" t="inlineStr">
        <is>
          <t>Cursor</t>
        </is>
      </c>
      <c r="C45" s="427" t="n"/>
      <c r="D45" s="406" t="inlineStr">
        <is>
          <t>Cursor Pro 月費</t>
        </is>
      </c>
      <c r="E45" s="428" t="n"/>
      <c r="F45" s="428" t="n"/>
      <c r="G45" s="427" t="n"/>
      <c r="H45" s="425" t="n">
        <v>21.4</v>
      </c>
      <c r="I45" s="426" t="n">
        <v>684.8</v>
      </c>
      <c r="J45" s="55" t="inlineStr">
        <is>
          <t>變動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391" t="n">
        <v>46050</v>
      </c>
      <c r="B46" s="424" t="inlineStr">
        <is>
          <t>Zeabur</t>
        </is>
      </c>
      <c r="C46" s="427" t="n"/>
      <c r="D46" s="406" t="inlineStr">
        <is>
          <t>Zeabur 月費</t>
        </is>
      </c>
      <c r="E46" s="428" t="n"/>
      <c r="F46" s="428" t="n"/>
      <c r="G46" s="427" t="n"/>
      <c r="H46" s="425" t="n">
        <v>5</v>
      </c>
      <c r="I46" s="426" t="n">
        <v>160</v>
      </c>
      <c r="J46" s="95" t="inlineStr">
        <is>
          <t>固定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391" t="n">
        <v>46051</v>
      </c>
      <c r="B47" s="424" t="inlineStr">
        <is>
          <t>Cursor</t>
        </is>
      </c>
      <c r="C47" s="427" t="n"/>
      <c r="D47" s="406" t="inlineStr">
        <is>
          <t>Cursor usage dec</t>
        </is>
      </c>
      <c r="E47" s="428" t="n"/>
      <c r="F47" s="428" t="n"/>
      <c r="G47" s="427" t="n"/>
      <c r="H47" s="425" t="n">
        <v>39.69</v>
      </c>
      <c r="I47" s="426" t="n">
        <v>1270.08</v>
      </c>
      <c r="J47" s="55" t="inlineStr">
        <is>
          <t>變動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3.5" customHeight="1" s="338">
      <c r="A48" s="423" t="inlineStr">
        <is>
          <t>── 2026年 02月 ──</t>
        </is>
      </c>
      <c r="B48" s="428" t="n"/>
      <c r="C48" s="428" t="n"/>
      <c r="D48" s="428" t="n"/>
      <c r="E48" s="428" t="n"/>
      <c r="F48" s="428" t="n"/>
      <c r="G48" s="428" t="n"/>
      <c r="H48" s="428" t="n"/>
      <c r="I48" s="428" t="n"/>
      <c r="J48" s="427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391" t="n">
        <v>46066</v>
      </c>
      <c r="B49" s="424" t="inlineStr">
        <is>
          <t>Cloudways</t>
        </is>
      </c>
      <c r="C49" s="427" t="n"/>
      <c r="D49" s="406" t="inlineStr">
        <is>
          <t>Cloudways 月費</t>
        </is>
      </c>
      <c r="E49" s="428" t="n"/>
      <c r="F49" s="428" t="n"/>
      <c r="G49" s="427" t="n"/>
      <c r="H49" s="425" t="n">
        <v>54.5</v>
      </c>
      <c r="I49" s="426" t="n">
        <v>1744</v>
      </c>
      <c r="J49" s="74" t="inlineStr">
        <is>
          <t>固定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391" t="n">
        <v>46078</v>
      </c>
      <c r="B50" s="424" t="inlineStr">
        <is>
          <t>Livechat</t>
        </is>
      </c>
      <c r="C50" s="427" t="n"/>
      <c r="D50" s="406" t="inlineStr">
        <is>
          <t>livechat 聊天機器人-帳號</t>
        </is>
      </c>
      <c r="E50" s="428" t="n"/>
      <c r="F50" s="428" t="n"/>
      <c r="G50" s="427" t="n"/>
      <c r="H50" s="425" t="n">
        <v>59</v>
      </c>
      <c r="I50" s="426" t="n">
        <v>1888</v>
      </c>
      <c r="J50" s="86" t="inlineStr">
        <is>
          <t>固定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391" t="n">
        <v>46079</v>
      </c>
      <c r="B51" s="424" t="inlineStr">
        <is>
          <t>Livechat</t>
        </is>
      </c>
      <c r="C51" s="427" t="n"/>
      <c r="D51" s="406" t="inlineStr">
        <is>
          <t>livechat 聊天機器人-訂閱</t>
        </is>
      </c>
      <c r="E51" s="428" t="n"/>
      <c r="F51" s="428" t="n"/>
      <c r="G51" s="427" t="n"/>
      <c r="H51" s="425" t="n">
        <v>65</v>
      </c>
      <c r="I51" s="426" t="n">
        <v>2080</v>
      </c>
      <c r="J51" s="86" t="inlineStr">
        <is>
          <t>固定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391" t="n">
        <v>46081</v>
      </c>
      <c r="B52" s="424" t="inlineStr">
        <is>
          <t>Cursor</t>
        </is>
      </c>
      <c r="C52" s="427" t="n"/>
      <c r="D52" s="406" t="inlineStr">
        <is>
          <t>CursorCursor Token 使用費</t>
        </is>
      </c>
      <c r="E52" s="428" t="n"/>
      <c r="F52" s="428" t="n"/>
      <c r="G52" s="427" t="n"/>
      <c r="H52" s="425" t="n">
        <v>21.4</v>
      </c>
      <c r="I52" s="426" t="n">
        <v>684.8</v>
      </c>
      <c r="J52" s="55" t="inlineStr">
        <is>
          <t>變動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38">
      <c r="A53" s="391" t="n">
        <v>46081</v>
      </c>
      <c r="B53" s="424" t="inlineStr">
        <is>
          <t>Zeabur</t>
        </is>
      </c>
      <c r="C53" s="427" t="n"/>
      <c r="D53" s="406" t="inlineStr">
        <is>
          <t>Zeabur 月費</t>
        </is>
      </c>
      <c r="E53" s="428" t="n"/>
      <c r="F53" s="428" t="n"/>
      <c r="G53" s="427" t="n"/>
      <c r="H53" s="425" t="n">
        <v>5</v>
      </c>
      <c r="I53" s="426" t="n">
        <v>160</v>
      </c>
      <c r="J53" s="95" t="inlineStr">
        <is>
          <t>固定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3.5" customHeight="1" s="338">
      <c r="A54" s="423" t="inlineStr">
        <is>
          <t>── 2026年 03月 ──</t>
        </is>
      </c>
      <c r="B54" s="428" t="n"/>
      <c r="C54" s="428" t="n"/>
      <c r="D54" s="428" t="n"/>
      <c r="E54" s="428" t="n"/>
      <c r="F54" s="428" t="n"/>
      <c r="G54" s="428" t="n"/>
      <c r="H54" s="428" t="n"/>
      <c r="I54" s="428" t="n"/>
      <c r="J54" s="427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391" t="n">
        <v>46092</v>
      </c>
      <c r="B55" s="424" t="inlineStr">
        <is>
          <t>Cloudways</t>
        </is>
      </c>
      <c r="C55" s="427" t="n"/>
      <c r="D55" s="406" t="inlineStr">
        <is>
          <t>Cloudways 月費</t>
        </is>
      </c>
      <c r="E55" s="428" t="n"/>
      <c r="F55" s="428" t="n"/>
      <c r="G55" s="427" t="n"/>
      <c r="H55" s="425" t="n">
        <v>54.5</v>
      </c>
      <c r="I55" s="426" t="n">
        <v>1744</v>
      </c>
      <c r="J55" s="74" t="inlineStr">
        <is>
          <t>固定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391" t="n">
        <v>46092</v>
      </c>
      <c r="B56" s="424" t="inlineStr">
        <is>
          <t>Surfshark</t>
        </is>
      </c>
      <c r="C56" s="427" t="n"/>
      <c r="D56" s="406" t="inlineStr">
        <is>
          <t>SURFSHARK-vpn訂閱/年</t>
        </is>
      </c>
      <c r="E56" s="428" t="n"/>
      <c r="F56" s="428" t="n"/>
      <c r="G56" s="427" t="n"/>
      <c r="H56" s="425" t="n">
        <v>57.41</v>
      </c>
      <c r="I56" s="426" t="n">
        <v>1837.12</v>
      </c>
      <c r="J56" s="104" t="inlineStr">
        <is>
          <t>一次性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391" t="n">
        <v>46092</v>
      </c>
      <c r="B57" s="424" t="inlineStr">
        <is>
          <t>Surfshark</t>
        </is>
      </c>
      <c r="C57" s="427" t="n"/>
      <c r="D57" s="406" t="inlineStr">
        <is>
          <t>SURFSHARK-vpn IP/年</t>
        </is>
      </c>
      <c r="E57" s="428" t="n"/>
      <c r="F57" s="428" t="n"/>
      <c r="G57" s="427" t="n"/>
      <c r="H57" s="425" t="n">
        <v>59.67</v>
      </c>
      <c r="I57" s="426" t="n">
        <v>1909.44</v>
      </c>
      <c r="J57" s="104" t="inlineStr">
        <is>
          <t>一次性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391" t="n">
        <v>46092</v>
      </c>
      <c r="B58" s="424" t="inlineStr">
        <is>
          <t>Surfshark</t>
        </is>
      </c>
      <c r="C58" s="427" t="n"/>
      <c r="D58" s="406" t="inlineStr">
        <is>
          <t>SURFSHARK（Topup / Transaction）</t>
        </is>
      </c>
      <c r="E58" s="428" t="n"/>
      <c r="F58" s="428" t="n"/>
      <c r="G58" s="427" t="n"/>
      <c r="H58" s="425" t="n">
        <v>15.25</v>
      </c>
      <c r="I58" s="426" t="n">
        <v>488</v>
      </c>
      <c r="J58" s="104" t="inlineStr">
        <is>
          <t>一次性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391" t="n">
        <v>46099</v>
      </c>
      <c r="B59" s="424" t="inlineStr">
        <is>
          <t>Livechat</t>
        </is>
      </c>
      <c r="C59" s="427" t="n"/>
      <c r="D59" s="406" t="inlineStr">
        <is>
          <t>livechat 月費</t>
        </is>
      </c>
      <c r="E59" s="428" t="n"/>
      <c r="F59" s="428" t="n"/>
      <c r="G59" s="427" t="n"/>
      <c r="H59" s="425" t="n">
        <v>8.859999999999999</v>
      </c>
      <c r="I59" s="426" t="n">
        <v>283.52</v>
      </c>
      <c r="J59" s="86" t="inlineStr">
        <is>
          <t>固定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267" t="n">
        <v>46099</v>
      </c>
      <c r="B60" s="371" t="inlineStr">
        <is>
          <t>Livechat</t>
        </is>
      </c>
      <c r="C60" s="346" t="n"/>
      <c r="D60" s="85" t="inlineStr">
        <is>
          <t>livechat 月費</t>
        </is>
      </c>
      <c r="E60" s="345" t="n"/>
      <c r="F60" s="345" t="n"/>
      <c r="G60" s="346" t="n"/>
      <c r="H60" s="89" t="n">
        <v>8.859999999999999</v>
      </c>
      <c r="I60" s="269" t="n">
        <v>283.52</v>
      </c>
      <c r="J60" s="86" t="inlineStr">
        <is>
          <t>固定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261" t="n">
        <v>46099</v>
      </c>
      <c r="B61" s="369" t="inlineStr">
        <is>
          <t>Cursor</t>
        </is>
      </c>
      <c r="C61" s="346" t="n"/>
      <c r="D61" s="54" t="inlineStr">
        <is>
          <t>Cursor Pro 月費</t>
        </is>
      </c>
      <c r="E61" s="345" t="n"/>
      <c r="F61" s="345" t="n"/>
      <c r="G61" s="346" t="n"/>
      <c r="H61" s="58" t="n">
        <v>66.8</v>
      </c>
      <c r="I61" s="263" t="n">
        <v>2137.6</v>
      </c>
      <c r="J61" s="55" t="inlineStr">
        <is>
          <t>變動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267" t="n">
        <v>46104</v>
      </c>
      <c r="B62" s="371" t="inlineStr">
        <is>
          <t>Livechat</t>
        </is>
      </c>
      <c r="C62" s="346" t="n"/>
      <c r="D62" s="85" t="inlineStr">
        <is>
          <t>livechat 月費</t>
        </is>
      </c>
      <c r="E62" s="345" t="n"/>
      <c r="F62" s="345" t="n"/>
      <c r="G62" s="346" t="n"/>
      <c r="H62" s="89" t="n">
        <v>177</v>
      </c>
      <c r="I62" s="269" t="n">
        <v>5664</v>
      </c>
      <c r="J62" s="86" t="inlineStr">
        <is>
          <t>固定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267" t="n">
        <v>46104</v>
      </c>
      <c r="B63" s="371" t="inlineStr">
        <is>
          <t>Livechat</t>
        </is>
      </c>
      <c r="C63" s="346" t="n"/>
      <c r="D63" s="85" t="inlineStr">
        <is>
          <t>livechat 月費</t>
        </is>
      </c>
      <c r="E63" s="345" t="n"/>
      <c r="F63" s="345" t="n"/>
      <c r="G63" s="346" t="n"/>
      <c r="H63" s="89" t="n">
        <v>5</v>
      </c>
      <c r="I63" s="269" t="n">
        <v>160</v>
      </c>
      <c r="J63" s="86" t="inlineStr">
        <is>
          <t>固定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267" t="n">
        <v>46112</v>
      </c>
      <c r="B64" s="371" t="inlineStr">
        <is>
          <t>Livechat</t>
        </is>
      </c>
      <c r="C64" s="346" t="n"/>
      <c r="D64" s="85" t="inlineStr">
        <is>
          <t>livechat 聊天機器人-訂閱</t>
        </is>
      </c>
      <c r="E64" s="345" t="n"/>
      <c r="F64" s="345" t="n"/>
      <c r="G64" s="346" t="n"/>
      <c r="H64" s="89" t="n">
        <v>65</v>
      </c>
      <c r="I64" s="269" t="n">
        <v>2080</v>
      </c>
      <c r="J64" s="86" t="inlineStr">
        <is>
          <t>固定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3.5" customHeight="1" s="338">
      <c r="A65" s="366" t="inlineStr">
        <is>
          <t>── 2026年 04月 ──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276" t="n">
        <v>46114</v>
      </c>
      <c r="B66" s="374" t="inlineStr">
        <is>
          <t>Google Cloud</t>
        </is>
      </c>
      <c r="C66" s="346" t="n"/>
      <c r="D66" s="112" t="inlineStr">
        <is>
          <t>GOOGLE *CLOUD</t>
        </is>
      </c>
      <c r="E66" s="345" t="n"/>
      <c r="F66" s="345" t="n"/>
      <c r="G66" s="346" t="n"/>
      <c r="H66" s="147" t="n">
        <v>27.26</v>
      </c>
      <c r="I66" s="278" t="n">
        <v>872.3200000000001</v>
      </c>
      <c r="J66" s="113" t="inlineStr">
        <is>
          <t>變動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267" t="n">
        <v>46116</v>
      </c>
      <c r="B67" s="371" t="inlineStr">
        <is>
          <t>Livechat</t>
        </is>
      </c>
      <c r="C67" s="346" t="n"/>
      <c r="D67" s="85" t="inlineStr">
        <is>
          <t>livechat 月費(增加席位)</t>
        </is>
      </c>
      <c r="E67" s="345" t="n"/>
      <c r="F67" s="345" t="n"/>
      <c r="G67" s="346" t="n"/>
      <c r="H67" s="89" t="n">
        <v>34.39</v>
      </c>
      <c r="I67" s="269" t="n">
        <v>1100.48</v>
      </c>
      <c r="J67" s="86" t="inlineStr">
        <is>
          <t>固定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264" t="n">
        <v>46119</v>
      </c>
      <c r="B68" s="370" t="inlineStr">
        <is>
          <t>Cloudways</t>
        </is>
      </c>
      <c r="C68" s="346" t="n"/>
      <c r="D68" s="73" t="inlineStr">
        <is>
          <t>Cloudways 月費</t>
        </is>
      </c>
      <c r="E68" s="345" t="n"/>
      <c r="F68" s="345" t="n"/>
      <c r="G68" s="346" t="n"/>
      <c r="H68" s="77" t="n">
        <v>54.5</v>
      </c>
      <c r="I68" s="266" t="n">
        <v>1744</v>
      </c>
      <c r="J68" s="74" t="inlineStr">
        <is>
          <t>固定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267" t="n">
        <v>46134</v>
      </c>
      <c r="B69" s="371" t="inlineStr">
        <is>
          <t>Livechat</t>
        </is>
      </c>
      <c r="C69" s="346" t="n"/>
      <c r="D69" s="85" t="inlineStr">
        <is>
          <t>livechat 月費</t>
        </is>
      </c>
      <c r="E69" s="345" t="n"/>
      <c r="F69" s="345" t="n"/>
      <c r="G69" s="346" t="n"/>
      <c r="H69" s="89" t="n">
        <v>177</v>
      </c>
      <c r="I69" s="269" t="n">
        <v>5664</v>
      </c>
      <c r="J69" s="86" t="inlineStr">
        <is>
          <t>固定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267" t="n">
        <v>46139</v>
      </c>
      <c r="B70" s="371" t="inlineStr">
        <is>
          <t>Livechat</t>
        </is>
      </c>
      <c r="C70" s="346" t="n"/>
      <c r="D70" s="85" t="inlineStr">
        <is>
          <t>livechat 聊天機器人-訂閱</t>
        </is>
      </c>
      <c r="E70" s="345" t="n"/>
      <c r="F70" s="345" t="n"/>
      <c r="G70" s="346" t="n"/>
      <c r="H70" s="89" t="n">
        <v>65</v>
      </c>
      <c r="I70" s="269" t="n">
        <v>2080</v>
      </c>
      <c r="J70" s="86" t="inlineStr">
        <is>
          <t>固定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276" t="n">
        <v>46139</v>
      </c>
      <c r="B71" s="374" t="inlineStr">
        <is>
          <t>Google Cloud</t>
        </is>
      </c>
      <c r="C71" s="346" t="n"/>
      <c r="D71" s="112" t="inlineStr">
        <is>
          <t>GOOGLE *SERVICES</t>
        </is>
      </c>
      <c r="E71" s="345" t="n"/>
      <c r="F71" s="345" t="n"/>
      <c r="G71" s="346" t="n"/>
      <c r="H71" s="147" t="n">
        <v>14.8</v>
      </c>
      <c r="I71" s="278" t="n">
        <v>473.6</v>
      </c>
      <c r="J71" s="113" t="inlineStr">
        <is>
          <t>變動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276" t="n">
        <v>46139</v>
      </c>
      <c r="B72" s="374" t="inlineStr">
        <is>
          <t>Google Cloud</t>
        </is>
      </c>
      <c r="C72" s="346" t="n"/>
      <c r="D72" s="112" t="inlineStr">
        <is>
          <t>GOOGLE *CLOUD</t>
        </is>
      </c>
      <c r="E72" s="345" t="n"/>
      <c r="F72" s="345" t="n"/>
      <c r="G72" s="346" t="n"/>
      <c r="H72" s="147" t="n">
        <v>73.98</v>
      </c>
      <c r="I72" s="278" t="n">
        <v>2367.36</v>
      </c>
      <c r="J72" s="113" t="inlineStr">
        <is>
          <t>變動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279" t="n">
        <v>46139</v>
      </c>
      <c r="B73" s="375" t="inlineStr">
        <is>
          <t>Tron</t>
        </is>
      </c>
      <c r="C73" s="346" t="n"/>
      <c r="D73" s="121" t="inlineStr">
        <is>
          <t>Tron</t>
        </is>
      </c>
      <c r="E73" s="345" t="n"/>
      <c r="F73" s="345" t="n"/>
      <c r="G73" s="346" t="n"/>
      <c r="H73" s="125" t="n">
        <v>24.5</v>
      </c>
      <c r="I73" s="281" t="n">
        <v>784</v>
      </c>
      <c r="J73" s="122" t="inlineStr">
        <is>
          <t>變動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38">
      <c r="A74" s="270" t="n">
        <v>46140</v>
      </c>
      <c r="B74" s="372" t="inlineStr">
        <is>
          <t>Zeabur</t>
        </is>
      </c>
      <c r="C74" s="346" t="n"/>
      <c r="D74" s="94" t="inlineStr">
        <is>
          <t>Zeabur 月費</t>
        </is>
      </c>
      <c r="E74" s="345" t="n"/>
      <c r="F74" s="345" t="n"/>
      <c r="G74" s="346" t="n"/>
      <c r="H74" s="98" t="n">
        <v>5</v>
      </c>
      <c r="I74" s="272" t="n">
        <v>160</v>
      </c>
      <c r="J74" s="95" t="inlineStr">
        <is>
          <t>固定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3.5" customHeight="1" s="338">
      <c r="A75" s="366" t="inlineStr">
        <is>
          <t>── 2026年 05月 ──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264" t="n">
        <v>46143</v>
      </c>
      <c r="B76" s="370" t="inlineStr">
        <is>
          <t>Cloudways</t>
        </is>
      </c>
      <c r="C76" s="346" t="n"/>
      <c r="D76" s="73" t="inlineStr">
        <is>
          <t>Cloudways 月費</t>
        </is>
      </c>
      <c r="E76" s="345" t="n"/>
      <c r="F76" s="345" t="n"/>
      <c r="G76" s="346" t="n"/>
      <c r="H76" s="77" t="n">
        <v>54.5</v>
      </c>
      <c r="I76" s="266" t="n">
        <v>1744</v>
      </c>
      <c r="J76" s="74" t="inlineStr">
        <is>
          <t>固定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276" t="n">
        <v>46144</v>
      </c>
      <c r="B77" s="374" t="inlineStr">
        <is>
          <t>Google Cloud</t>
        </is>
      </c>
      <c r="C77" s="346" t="n"/>
      <c r="D77" s="112" t="inlineStr">
        <is>
          <t>GOOGLE *CLOUD</t>
        </is>
      </c>
      <c r="E77" s="345" t="n"/>
      <c r="F77" s="345" t="n"/>
      <c r="G77" s="346" t="n"/>
      <c r="H77" s="147" t="n">
        <v>16.81</v>
      </c>
      <c r="I77" s="278" t="n">
        <v>537.92</v>
      </c>
      <c r="J77" s="113" t="inlineStr">
        <is>
          <t>變動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258" t="n">
        <v>46156</v>
      </c>
      <c r="B78" s="368" t="inlineStr">
        <is>
          <t>網域/域名</t>
        </is>
      </c>
      <c r="C78" s="346" t="n"/>
      <c r="D78" s="138" t="inlineStr">
        <is>
          <t>網域ys89.me 7.27 U</t>
        </is>
      </c>
      <c r="E78" s="345" t="n"/>
      <c r="F78" s="345" t="n"/>
      <c r="G78" s="346" t="n"/>
      <c r="H78" s="139" t="n">
        <v>40.6</v>
      </c>
      <c r="I78" s="260" t="n">
        <v>1299.2</v>
      </c>
      <c r="J78" s="37" t="inlineStr">
        <is>
          <t>一次性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282" t="n">
        <v>46157</v>
      </c>
      <c r="B79" s="376" t="inlineStr">
        <is>
          <t>WEBSHARE</t>
        </is>
      </c>
      <c r="C79" s="346" t="n"/>
      <c r="D79" s="130" t="inlineStr">
        <is>
          <t>WEBSHARE-10條IP(新加坡*5香港*5)</t>
        </is>
      </c>
      <c r="E79" s="345" t="n"/>
      <c r="F79" s="345" t="n"/>
      <c r="G79" s="346" t="n"/>
      <c r="H79" s="134" t="n">
        <v>33.3</v>
      </c>
      <c r="I79" s="284" t="n">
        <v>1065.6</v>
      </c>
      <c r="J79" s="131" t="inlineStr">
        <is>
          <t>一次性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258" t="n">
        <v>46160</v>
      </c>
      <c r="B80" s="368" t="inlineStr">
        <is>
          <t>網域/域名</t>
        </is>
      </c>
      <c r="C80" s="346" t="n"/>
      <c r="D80" s="138" t="inlineStr">
        <is>
          <t>網域fifa-worldcups.tw 世足棧</t>
        </is>
      </c>
      <c r="E80" s="345" t="n"/>
      <c r="F80" s="345" t="n"/>
      <c r="G80" s="346" t="n"/>
      <c r="H80" s="139" t="n">
        <v>28.94</v>
      </c>
      <c r="I80" s="260" t="n">
        <v>926.08</v>
      </c>
      <c r="J80" s="37" t="inlineStr">
        <is>
          <t>一次性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258" t="n">
        <v>46161</v>
      </c>
      <c r="B81" s="368" t="inlineStr">
        <is>
          <t>網域/域名</t>
        </is>
      </c>
      <c r="C81" s="346" t="n"/>
      <c r="D81" s="138" t="inlineStr">
        <is>
          <t>網域hipgreenscene.com(20+網址)</t>
        </is>
      </c>
      <c r="E81" s="345" t="n"/>
      <c r="F81" s="345" t="n"/>
      <c r="G81" s="346" t="n"/>
      <c r="H81" s="139" t="n">
        <v>43.81</v>
      </c>
      <c r="I81" s="260" t="n">
        <v>1401.92</v>
      </c>
      <c r="J81" s="37" t="inlineStr">
        <is>
          <t>一次性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33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136">
    <mergeCell ref="A15:B15"/>
    <mergeCell ref="C15:D15"/>
    <mergeCell ref="D8:G8"/>
    <mergeCell ref="D74:G74"/>
    <mergeCell ref="D68:G68"/>
    <mergeCell ref="B31:C31"/>
    <mergeCell ref="D55:G55"/>
    <mergeCell ref="B77:C77"/>
    <mergeCell ref="D59:G59"/>
    <mergeCell ref="B67:C67"/>
    <mergeCell ref="D60:G60"/>
    <mergeCell ref="B61:C61"/>
    <mergeCell ref="A34:J34"/>
    <mergeCell ref="B69:C69"/>
    <mergeCell ref="D31:G31"/>
    <mergeCell ref="B78:C78"/>
    <mergeCell ref="D45:G45"/>
    <mergeCell ref="D6:G6"/>
    <mergeCell ref="D77:G77"/>
    <mergeCell ref="A17:B17"/>
    <mergeCell ref="B40:C40"/>
    <mergeCell ref="C17:D17"/>
    <mergeCell ref="B49:C49"/>
    <mergeCell ref="A22:B22"/>
    <mergeCell ref="A24:F24"/>
    <mergeCell ref="B55:C55"/>
    <mergeCell ref="D70:G70"/>
    <mergeCell ref="A75:J75"/>
    <mergeCell ref="B64:C64"/>
    <mergeCell ref="B33:C33"/>
    <mergeCell ref="A19:B19"/>
    <mergeCell ref="B51:C51"/>
    <mergeCell ref="C19:D19"/>
    <mergeCell ref="D7:G7"/>
    <mergeCell ref="D72:G72"/>
    <mergeCell ref="D78:G78"/>
    <mergeCell ref="B32:C32"/>
    <mergeCell ref="B63:C63"/>
    <mergeCell ref="B41:C41"/>
    <mergeCell ref="B35:C35"/>
    <mergeCell ref="D62:G62"/>
    <mergeCell ref="D56:G56"/>
    <mergeCell ref="D71:G71"/>
    <mergeCell ref="D58:G58"/>
    <mergeCell ref="C14:D14"/>
    <mergeCell ref="A4:J4"/>
    <mergeCell ref="D64:G64"/>
    <mergeCell ref="D33:G33"/>
    <mergeCell ref="A38:J38"/>
    <mergeCell ref="D73:G73"/>
    <mergeCell ref="B66:C66"/>
    <mergeCell ref="D42:G42"/>
    <mergeCell ref="D51:G51"/>
    <mergeCell ref="D35:G35"/>
    <mergeCell ref="D50:G50"/>
    <mergeCell ref="D44:G44"/>
    <mergeCell ref="B53:C53"/>
    <mergeCell ref="B29:C29"/>
    <mergeCell ref="D36:G36"/>
    <mergeCell ref="B37:C37"/>
    <mergeCell ref="D61:G61"/>
    <mergeCell ref="D53:G53"/>
    <mergeCell ref="B80:C80"/>
    <mergeCell ref="D47:G47"/>
    <mergeCell ref="A2:J2"/>
    <mergeCell ref="B79:C79"/>
    <mergeCell ref="C18:D18"/>
    <mergeCell ref="D37:G37"/>
    <mergeCell ref="D9:G9"/>
    <mergeCell ref="B72:C72"/>
    <mergeCell ref="D39:G39"/>
    <mergeCell ref="B81:C81"/>
    <mergeCell ref="D29:G29"/>
    <mergeCell ref="A26:F26"/>
    <mergeCell ref="B71:C71"/>
    <mergeCell ref="B56:C56"/>
    <mergeCell ref="A28:J28"/>
    <mergeCell ref="B43:C43"/>
    <mergeCell ref="B58:C58"/>
    <mergeCell ref="C20:D20"/>
    <mergeCell ref="B52:C52"/>
    <mergeCell ref="D79:G79"/>
    <mergeCell ref="A30:J30"/>
    <mergeCell ref="B42:C42"/>
    <mergeCell ref="B60:C60"/>
    <mergeCell ref="C22:D22"/>
    <mergeCell ref="D63:G63"/>
    <mergeCell ref="B57:C57"/>
    <mergeCell ref="D81:G81"/>
    <mergeCell ref="A12:B12"/>
    <mergeCell ref="C12:D12"/>
    <mergeCell ref="A21:B21"/>
    <mergeCell ref="B44:C44"/>
    <mergeCell ref="C21:D21"/>
    <mergeCell ref="D52:G52"/>
    <mergeCell ref="A14:B14"/>
    <mergeCell ref="D49:G49"/>
    <mergeCell ref="A23:B23"/>
    <mergeCell ref="A54:J54"/>
    <mergeCell ref="C23:D23"/>
    <mergeCell ref="D76:G76"/>
    <mergeCell ref="D66:G66"/>
    <mergeCell ref="B76:C76"/>
    <mergeCell ref="B45:C45"/>
    <mergeCell ref="B47:C47"/>
    <mergeCell ref="B62:C62"/>
    <mergeCell ref="B59:C59"/>
    <mergeCell ref="B46:C46"/>
    <mergeCell ref="D67:G67"/>
    <mergeCell ref="D5:G5"/>
    <mergeCell ref="B39:C39"/>
    <mergeCell ref="B70:C70"/>
    <mergeCell ref="A16:B16"/>
    <mergeCell ref="C16:D16"/>
    <mergeCell ref="D69:G69"/>
    <mergeCell ref="A48:J48"/>
    <mergeCell ref="A18:B18"/>
    <mergeCell ref="D46:G46"/>
    <mergeCell ref="A11:J11"/>
    <mergeCell ref="B73:C73"/>
    <mergeCell ref="D40:G40"/>
    <mergeCell ref="A1:J1"/>
    <mergeCell ref="D80:G80"/>
    <mergeCell ref="A65:J65"/>
    <mergeCell ref="D57:G57"/>
    <mergeCell ref="D32:G32"/>
    <mergeCell ref="B74:C74"/>
    <mergeCell ref="A20:B20"/>
    <mergeCell ref="B68:C68"/>
    <mergeCell ref="D41:G41"/>
    <mergeCell ref="A13:B13"/>
    <mergeCell ref="B36:C36"/>
    <mergeCell ref="C13:D13"/>
    <mergeCell ref="D43:G43"/>
    <mergeCell ref="B50:C50"/>
    <mergeCell ref="A25:F2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14.43" defaultRowHeight="15" customHeight="1"/>
  <cols>
    <col width="14" customWidth="1" style="338" min="1" max="1"/>
    <col width="28" customWidth="1" style="338" min="2" max="2"/>
    <col width="10" customWidth="1" style="338" min="3" max="3"/>
    <col width="12" customWidth="1" style="338" min="4" max="10"/>
    <col width="13" customWidth="1" style="338" min="11" max="11"/>
  </cols>
  <sheetData>
    <row r="1" ht="24" customHeight="1" s="338">
      <c r="A1" s="1" t="inlineStr">
        <is>
          <t>月度費用趨勢統計表</t>
        </is>
      </c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338">
      <c r="A2" s="342" t="inlineStr">
        <is>
          <t>各服務月度支出（U）| 不含平台手續費 | 灰色=無支出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38">
      <c r="A4" s="183" t="inlineStr">
        <is>
          <t>分類</t>
        </is>
      </c>
      <c r="B4" s="286" t="inlineStr">
        <is>
          <t>費用說明</t>
        </is>
      </c>
      <c r="C4" s="183" t="inlineStr">
        <is>
          <t>費用性質</t>
        </is>
      </c>
      <c r="D4" s="183" t="inlineStr">
        <is>
          <t>2025/11</t>
        </is>
      </c>
      <c r="E4" s="183" t="inlineStr">
        <is>
          <t>2025/12</t>
        </is>
      </c>
      <c r="F4" s="183" t="inlineStr">
        <is>
          <t>2026/01</t>
        </is>
      </c>
      <c r="G4" s="183" t="inlineStr">
        <is>
          <t>2026/02</t>
        </is>
      </c>
      <c r="H4" s="183" t="inlineStr">
        <is>
          <t>2026/03</t>
        </is>
      </c>
      <c r="I4" s="183" t="inlineStr">
        <is>
          <t>2026/04</t>
        </is>
      </c>
      <c r="J4" s="183" t="inlineStr">
        <is>
          <t>2026/05</t>
        </is>
      </c>
      <c r="K4" s="9" t="inlineStr">
        <is>
          <t>合計</t>
        </is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6.5" customHeight="1" s="338">
      <c r="A5" s="287" t="inlineStr">
        <is>
          <t>Cursor</t>
        </is>
      </c>
      <c r="B5" s="54" t="inlineStr">
        <is>
          <t>AI 程式開發工具（訂閱+用量）</t>
        </is>
      </c>
      <c r="C5" s="55" t="inlineStr">
        <is>
          <t>變動</t>
        </is>
      </c>
      <c r="D5" s="58" t="n">
        <v>21.4</v>
      </c>
      <c r="E5" s="58" t="n">
        <v>41.51</v>
      </c>
      <c r="F5" s="58" t="n">
        <v>126.97</v>
      </c>
      <c r="G5" s="58" t="n">
        <v>21.4</v>
      </c>
      <c r="H5" s="58" t="n">
        <v>66.8</v>
      </c>
      <c r="I5" s="288" t="n"/>
      <c r="J5" s="288" t="n"/>
      <c r="K5" s="289" t="n">
        <v>278.08</v>
      </c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6.5" customHeight="1" s="338">
      <c r="A6" s="290" t="inlineStr">
        <is>
          <t>Cloudways</t>
        </is>
      </c>
      <c r="B6" s="73" t="inlineStr">
        <is>
          <t>雲端主機/伺服器 (月租)</t>
        </is>
      </c>
      <c r="C6" s="74" t="inlineStr">
        <is>
          <t>固定</t>
        </is>
      </c>
      <c r="D6" s="288" t="n"/>
      <c r="E6" s="288" t="n"/>
      <c r="F6" s="77" t="n">
        <v>40.76</v>
      </c>
      <c r="G6" s="77" t="n">
        <v>54.5</v>
      </c>
      <c r="H6" s="77" t="n">
        <v>54.5</v>
      </c>
      <c r="I6" s="77" t="n">
        <v>54.5</v>
      </c>
      <c r="J6" s="77" t="n">
        <v>54.5</v>
      </c>
      <c r="K6" s="289" t="n">
        <v>258.76</v>
      </c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6.5" customHeight="1" s="338">
      <c r="A7" s="291" t="inlineStr">
        <is>
          <t>Livechat</t>
        </is>
      </c>
      <c r="B7" s="85" t="inlineStr">
        <is>
          <t>線上客服系統 (月租+席位)</t>
        </is>
      </c>
      <c r="C7" s="86" t="inlineStr">
        <is>
          <t>固定</t>
        </is>
      </c>
      <c r="D7" s="288" t="n"/>
      <c r="E7" s="288" t="n"/>
      <c r="F7" s="89" t="n">
        <v>125</v>
      </c>
      <c r="G7" s="89" t="n">
        <v>124</v>
      </c>
      <c r="H7" s="89" t="n">
        <v>264.72</v>
      </c>
      <c r="I7" s="89" t="n">
        <v>276.39</v>
      </c>
      <c r="J7" s="288" t="n"/>
      <c r="K7" s="289" t="n">
        <v>790.11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6.5" customHeight="1" s="338">
      <c r="A8" s="292" t="inlineStr">
        <is>
          <t>Zeabur</t>
        </is>
      </c>
      <c r="B8" s="94" t="inlineStr">
        <is>
          <t>應用程式部署平台 (月租)</t>
        </is>
      </c>
      <c r="C8" s="95" t="inlineStr">
        <is>
          <t>固定</t>
        </is>
      </c>
      <c r="D8" s="288" t="n"/>
      <c r="E8" s="288" t="n"/>
      <c r="F8" s="98" t="n">
        <v>5</v>
      </c>
      <c r="G8" s="98" t="n">
        <v>5</v>
      </c>
      <c r="H8" s="288" t="n"/>
      <c r="I8" s="98" t="n">
        <v>5</v>
      </c>
      <c r="J8" s="288" t="n"/>
      <c r="K8" s="289" t="n">
        <v>15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6.5" customHeight="1" s="338">
      <c r="A9" s="293" t="inlineStr">
        <is>
          <t>Surfshark</t>
        </is>
      </c>
      <c r="B9" s="103" t="inlineStr">
        <is>
          <t>VPN 服務 (年費)</t>
        </is>
      </c>
      <c r="C9" s="104" t="inlineStr">
        <is>
          <t>一次性</t>
        </is>
      </c>
      <c r="D9" s="288" t="n"/>
      <c r="E9" s="288" t="n"/>
      <c r="F9" s="288" t="n"/>
      <c r="G9" s="288" t="n"/>
      <c r="H9" s="107" t="n">
        <v>132.33</v>
      </c>
      <c r="I9" s="288" t="n"/>
      <c r="J9" s="288" t="n"/>
      <c r="K9" s="289" t="n">
        <v>132.33</v>
      </c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6.5" customHeight="1" s="338">
      <c r="A10" s="294" t="inlineStr">
        <is>
          <t>網域/域名</t>
        </is>
      </c>
      <c r="B10" s="138" t="inlineStr">
        <is>
          <t>網域名稱購買/續費</t>
        </is>
      </c>
      <c r="C10" s="37" t="inlineStr">
        <is>
          <t>一次性</t>
        </is>
      </c>
      <c r="D10" s="139" t="n">
        <v>795.04</v>
      </c>
      <c r="E10" s="139" t="n">
        <v>63.15</v>
      </c>
      <c r="F10" s="139" t="n">
        <v>24.61</v>
      </c>
      <c r="G10" s="288" t="n"/>
      <c r="H10" s="288" t="n"/>
      <c r="I10" s="288" t="n"/>
      <c r="J10" s="139" t="n">
        <v>113.35</v>
      </c>
      <c r="K10" s="289" t="n">
        <v>996.15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6.5" customHeight="1" s="338">
      <c r="A11" s="295" t="inlineStr">
        <is>
          <t>Google Cloud</t>
        </is>
      </c>
      <c r="B11" s="112" t="inlineStr">
        <is>
          <t>Google 雲端服務</t>
        </is>
      </c>
      <c r="C11" s="113" t="inlineStr">
        <is>
          <t>變動</t>
        </is>
      </c>
      <c r="D11" s="288" t="n"/>
      <c r="E11" s="288" t="n"/>
      <c r="F11" s="288" t="n"/>
      <c r="G11" s="288" t="n"/>
      <c r="H11" s="288" t="n"/>
      <c r="I11" s="147" t="n">
        <v>116.04</v>
      </c>
      <c r="J11" s="147" t="n">
        <v>16.81</v>
      </c>
      <c r="K11" s="289" t="n">
        <v>132.85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338">
      <c r="A12" s="296" t="inlineStr">
        <is>
          <t>WEBSHARE</t>
        </is>
      </c>
      <c r="B12" s="130" t="inlineStr">
        <is>
          <t>代理 IP 服務</t>
        </is>
      </c>
      <c r="C12" s="131" t="inlineStr">
        <is>
          <t>一次性</t>
        </is>
      </c>
      <c r="D12" s="288" t="n"/>
      <c r="E12" s="288" t="n"/>
      <c r="F12" s="288" t="n"/>
      <c r="G12" s="288" t="n"/>
      <c r="H12" s="288" t="n"/>
      <c r="I12" s="288" t="n"/>
      <c r="J12" s="134" t="n">
        <v>33.3</v>
      </c>
      <c r="K12" s="289" t="n">
        <v>33.3</v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38">
      <c r="A13" s="297" t="inlineStr">
        <is>
          <t>Tron</t>
        </is>
      </c>
      <c r="B13" s="121" t="inlineStr">
        <is>
          <t>Tron 區塊鏈費用</t>
        </is>
      </c>
      <c r="C13" s="122" t="inlineStr">
        <is>
          <t>變動</t>
        </is>
      </c>
      <c r="D13" s="288" t="n"/>
      <c r="E13" s="288" t="n"/>
      <c r="F13" s="288" t="n"/>
      <c r="G13" s="288" t="n"/>
      <c r="H13" s="288" t="n"/>
      <c r="I13" s="125" t="n">
        <v>24.5</v>
      </c>
      <c r="J13" s="288" t="n"/>
      <c r="K13" s="289" t="n">
        <v>24.5</v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38">
      <c r="A14" s="298" t="inlineStr">
        <is>
          <t>開卡費</t>
        </is>
      </c>
      <c r="B14" s="26" t="inlineStr">
        <is>
          <t>虛擬卡開卡費用</t>
        </is>
      </c>
      <c r="C14" s="233" t="inlineStr">
        <is>
          <t>一次性</t>
        </is>
      </c>
      <c r="D14" s="30" t="n">
        <v>12.35</v>
      </c>
      <c r="E14" s="288" t="n"/>
      <c r="F14" s="288" t="n"/>
      <c r="G14" s="288" t="n"/>
      <c r="H14" s="288" t="n"/>
      <c r="I14" s="288" t="n"/>
      <c r="J14" s="288" t="n"/>
      <c r="K14" s="289" t="n">
        <v>12.35</v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9.5" customHeight="1" s="338">
      <c r="A15" s="176" t="inlineStr">
        <is>
          <t>月度合計</t>
        </is>
      </c>
      <c r="B15" s="348" t="n"/>
      <c r="C15" s="350" t="n"/>
      <c r="D15" s="177" t="n">
        <v>828.79</v>
      </c>
      <c r="E15" s="177" t="n">
        <v>104.66</v>
      </c>
      <c r="F15" s="177" t="n">
        <v>322.34</v>
      </c>
      <c r="G15" s="177" t="n">
        <v>204.9</v>
      </c>
      <c r="H15" s="177" t="n">
        <v>518.35</v>
      </c>
      <c r="I15" s="177" t="n">
        <v>476.43</v>
      </c>
      <c r="J15" s="177" t="n">
        <v>217.96</v>
      </c>
      <c r="K15" s="245" t="n">
        <v>2673.43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8" customHeight="1" s="338">
      <c r="A16" s="299" t="inlineStr">
        <is>
          <t>月度合計(TWD)</t>
        </is>
      </c>
      <c r="B16" s="377" t="inlineStr">
        <is>
          <t>1U = 32 TWD</t>
        </is>
      </c>
      <c r="C16" s="346" t="n"/>
      <c r="D16" s="301" t="n">
        <v>26521.28</v>
      </c>
      <c r="E16" s="301" t="n">
        <v>3349.12</v>
      </c>
      <c r="F16" s="301" t="n">
        <v>10314.88</v>
      </c>
      <c r="G16" s="301" t="n">
        <v>6556.8</v>
      </c>
      <c r="H16" s="301" t="n">
        <v>16587.2</v>
      </c>
      <c r="I16" s="301" t="n">
        <v>15245.76</v>
      </c>
      <c r="J16" s="301" t="n">
        <v>6974.72</v>
      </c>
      <c r="K16" s="302" t="n">
        <v>85549.75999999999</v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>
        <f>== Service Item Details ===</f>
        <v/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inlineStr">
        <is>
          <t>Item Name</t>
        </is>
      </c>
      <c r="B19" s="2" t="inlineStr">
        <is>
          <t>Supplier</t>
        </is>
      </c>
      <c r="C19" s="2" t="inlineStr">
        <is>
          <t>Unit Price(TWD)</t>
        </is>
      </c>
      <c r="D19" s="2" t="inlineStr">
        <is>
          <t>Count</t>
        </is>
      </c>
      <c r="E19" s="2" t="inlineStr">
        <is>
          <t>Monthly Cost</t>
        </is>
      </c>
      <c r="F19" s="2" t="inlineStr">
        <is>
          <t>Notes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inlineStr">
        <is>
          <t>Livechat</t>
        </is>
      </c>
      <c r="B20" s="2" t="inlineStr">
        <is>
          <t>Livechat</t>
        </is>
      </c>
      <c r="C20" s="2" t="n">
        <v>2145</v>
      </c>
      <c r="D20" s="2" t="n">
        <v>1</v>
      </c>
      <c r="E20" s="2" t="n">
        <v>2145</v>
      </c>
      <c r="F20" s="2" t="inlineStr">
        <is>
          <t>Monthly fee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38">
      <c r="A21" s="2" t="inlineStr">
        <is>
          <t>Cloudways</t>
        </is>
      </c>
      <c r="B21" s="2" t="inlineStr">
        <is>
          <t>Cloudways</t>
        </is>
      </c>
      <c r="C21" s="2" t="n">
        <v>1700</v>
      </c>
      <c r="D21" s="2" t="n">
        <v>1</v>
      </c>
      <c r="E21" s="2" t="n">
        <v>1700</v>
      </c>
      <c r="F21" s="2" t="inlineStr">
        <is>
          <t>Server fee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38">
      <c r="A22" s="2" t="inlineStr">
        <is>
          <t>Domain.com</t>
        </is>
      </c>
      <c r="B22" s="2" t="inlineStr">
        <is>
          <t>domain.com</t>
        </is>
      </c>
      <c r="C22" s="2" t="n">
        <v>1200</v>
      </c>
      <c r="D22" s="2" t="n">
        <v>1</v>
      </c>
      <c r="E22" s="2" t="n">
        <v>100</v>
      </c>
      <c r="F22" s="2" t="inlineStr">
        <is>
          <t>Annual/Monthly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38">
      <c r="A23" s="2" t="inlineStr">
        <is>
          <t>Google Cloud</t>
        </is>
      </c>
      <c r="B23" s="2" t="inlineStr">
        <is>
          <t>Google</t>
        </is>
      </c>
      <c r="C23" s="2" t="inlineStr">
        <is>
          <t>Varies</t>
        </is>
      </c>
      <c r="D23" s="2" t="inlineStr">
        <is>
          <t>-</t>
        </is>
      </c>
      <c r="E23" s="2" t="inlineStr">
        <is>
          <t>Varies</t>
        </is>
      </c>
      <c r="F23" s="2" t="inlineStr">
        <is>
          <t>As needed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38">
      <c r="A24" s="2" t="inlineStr">
        <is>
          <t>Domain Fee</t>
        </is>
      </c>
      <c r="B24" s="2" t="inlineStr">
        <is>
          <t>domain.com</t>
        </is>
      </c>
      <c r="C24" s="2" t="n">
        <v>1200</v>
      </c>
      <c r="D24" s="2" t="inlineStr">
        <is>
          <t>1 year</t>
        </is>
      </c>
      <c r="E24" s="2" t="n">
        <v>100</v>
      </c>
      <c r="F24" s="2" t="inlineStr">
        <is>
          <t>Yearly/Monthly average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3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3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3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3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3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3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3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3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3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3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3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3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4">
    <mergeCell ref="A1:J1"/>
    <mergeCell ref="B16:C16"/>
    <mergeCell ref="B15:C15"/>
    <mergeCell ref="A2:J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1" topLeftCell="A12" activePane="bottomLeft" state="frozen"/>
      <selection pane="bottomLeft" activeCell="B13" sqref="B13"/>
    </sheetView>
  </sheetViews>
  <sheetFormatPr baseColWidth="8" defaultColWidth="14.43" defaultRowHeight="15" customHeight="1"/>
  <cols>
    <col width="22.57" customWidth="1" style="338" min="1" max="1"/>
    <col width="8" customWidth="1" style="338" min="2" max="2"/>
    <col width="13" customWidth="1" style="338" min="3" max="3"/>
    <col width="14" customWidth="1" style="338" min="4" max="4"/>
    <col width="13" customWidth="1" style="338" min="5" max="7"/>
    <col width="10" customWidth="1" style="338" min="8" max="8"/>
    <col width="20" customWidth="1" style="338" min="9" max="9"/>
  </cols>
  <sheetData>
    <row r="1" ht="25.5" customHeight="1" s="338">
      <c r="A1" s="1" t="inlineStr">
        <is>
          <t>YS 台幣支付費用 — 換算 USDT 請款表</t>
        </is>
      </c>
      <c r="J1" s="2" t="n"/>
      <c r="K1" s="2" t="n"/>
      <c r="L1" s="2" t="n"/>
      <c r="M1" s="2" t="n"/>
      <c r="N1" s="2" t="n">
        <v>32</v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42" t="inlineStr">
        <is>
          <t>台幣固定費用每月換算 USDT，匯率 1 USDT = 32 TWD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7.5" customHeight="1" s="338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9.5" customHeight="1" s="338">
      <c r="A4" s="343" t="inlineStr">
        <is>
          <t>▌ 一、台幣固定費用項目（月費）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8" customHeight="1" s="338">
      <c r="A5" s="183" t="inlineStr">
        <is>
          <t>費用項目</t>
        </is>
      </c>
      <c r="B5" s="286" t="inlineStr">
        <is>
          <t>說明/備註</t>
        </is>
      </c>
      <c r="C5" s="346" t="n"/>
      <c r="D5" s="183" t="inlineStr">
        <is>
          <t>支付方式</t>
        </is>
      </c>
      <c r="E5" s="184" t="inlineStr">
        <is>
          <t>月費(TWD)</t>
        </is>
      </c>
      <c r="F5" s="184" t="inlineStr">
        <is>
          <t>換算(U)</t>
        </is>
      </c>
      <c r="G5" s="286" t="inlineStr">
        <is>
          <t>計算說明</t>
        </is>
      </c>
      <c r="H5" s="345" t="n"/>
      <c r="I5" s="346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8" customHeight="1" s="338">
      <c r="A6" s="303" t="inlineStr">
        <is>
          <t>電信費</t>
        </is>
      </c>
      <c r="B6" s="378" t="inlineStr">
        <is>
          <t>待填入電信商名稱</t>
        </is>
      </c>
      <c r="C6" s="346" t="n"/>
      <c r="D6" s="305" t="inlineStr">
        <is>
          <t>台幣直付</t>
        </is>
      </c>
      <c r="E6" s="306" t="n">
        <v>2145</v>
      </c>
      <c r="F6" s="16">
        <f>E6/$N$1</f>
        <v/>
      </c>
      <c r="G6" s="379" t="inlineStr">
        <is>
          <t>2,145 ÷ 32 = 67.03 U</t>
        </is>
      </c>
      <c r="H6" s="345" t="n"/>
      <c r="I6" s="346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8" customHeight="1" s="338">
      <c r="A7" s="294" t="inlineStr">
        <is>
          <t>App使用費</t>
        </is>
      </c>
      <c r="B7" s="380" t="inlineStr">
        <is>
          <t>名稱待確認</t>
        </is>
      </c>
      <c r="C7" s="346" t="n"/>
      <c r="D7" s="309" t="inlineStr">
        <is>
          <t>台幣直付</t>
        </is>
      </c>
      <c r="E7" s="310" t="inlineStr">
        <is>
          <t>待填</t>
        </is>
      </c>
      <c r="F7" s="311" t="inlineStr">
        <is>
          <t>待填</t>
        </is>
      </c>
      <c r="G7" s="381" t="inlineStr">
        <is>
          <t>確認金額後填入，並計算 ÷ 32</t>
        </is>
      </c>
      <c r="H7" s="345" t="n"/>
      <c r="I7" s="346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8" customHeight="1" s="338">
      <c r="A8" s="313" t="inlineStr">
        <is>
          <t>月度合計（暫）</t>
        </is>
      </c>
      <c r="B8" s="382" t="inlineStr">
        <is>
          <t>App費確認後更新</t>
        </is>
      </c>
      <c r="C8" s="383" t="n"/>
      <c r="D8" s="384" t="n"/>
      <c r="E8" s="317" t="n">
        <v>2145</v>
      </c>
      <c r="F8" s="318">
        <f>E8/$N$1</f>
        <v/>
      </c>
      <c r="G8" s="385" t="n"/>
      <c r="H8" s="383" t="n"/>
      <c r="I8" s="384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7.5" customHeight="1" s="33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9.5" customHeight="1" s="338">
      <c r="A10" s="343" t="inlineStr">
        <is>
          <t>▌ 二、月度請款記錄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8" customHeight="1" s="338">
      <c r="A11" s="183" t="inlineStr">
        <is>
          <t>年份</t>
        </is>
      </c>
      <c r="B11" s="183" t="inlineStr">
        <is>
          <t>月份</t>
        </is>
      </c>
      <c r="C11" s="183" t="inlineStr">
        <is>
          <t>日期</t>
        </is>
      </c>
      <c r="D11" s="184" t="inlineStr">
        <is>
          <t>電信費(TWD)</t>
        </is>
      </c>
      <c r="E11" s="184" t="inlineStr">
        <is>
          <t>App費(TWD)</t>
        </is>
      </c>
      <c r="F11" s="320" t="inlineStr">
        <is>
          <t>合計(TWD)</t>
        </is>
      </c>
      <c r="G11" s="320" t="inlineStr">
        <is>
          <t>合計(U)</t>
        </is>
      </c>
      <c r="H11" s="183" t="inlineStr">
        <is>
          <t>請款狀態</t>
        </is>
      </c>
      <c r="I11" s="286" t="inlineStr">
        <is>
          <t>備註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6.5" customHeight="1" s="338">
      <c r="A12" s="321" t="n">
        <v>2025</v>
      </c>
      <c r="B12" s="321" t="n">
        <v>5</v>
      </c>
      <c r="C12" s="328" t="n">
        <v>46148</v>
      </c>
      <c r="D12" s="323" t="n">
        <v>2145</v>
      </c>
      <c r="E12" s="324">
        <f>D12/$N$1</f>
        <v/>
      </c>
      <c r="F12" s="330" t="n">
        <v>2145</v>
      </c>
      <c r="G12" s="16">
        <f>F12/$N$1</f>
        <v/>
      </c>
      <c r="H12" s="326" t="inlineStr">
        <is>
          <t>待請款</t>
        </is>
      </c>
      <c r="I12" s="327" t="inlineStr">
        <is>
          <t>App費待確認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6.5" customHeight="1" s="338">
      <c r="A13" s="321" t="n">
        <v>2025</v>
      </c>
      <c r="B13" s="321" t="n">
        <v>5</v>
      </c>
      <c r="C13" s="328" t="n">
        <v>46169</v>
      </c>
      <c r="D13" s="323" t="n">
        <v>1556</v>
      </c>
      <c r="E13" s="329">
        <f>D13/$N$1</f>
        <v/>
      </c>
      <c r="F13" s="330" t="n">
        <v>1556</v>
      </c>
      <c r="G13" s="16" t="n"/>
      <c r="H13" s="331" t="n"/>
      <c r="I13" s="33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6.5" customHeight="1" s="338">
      <c r="A14" s="333" t="n"/>
      <c r="B14" s="333" t="n"/>
      <c r="C14" s="333" t="n"/>
      <c r="D14" s="334" t="n"/>
      <c r="E14" s="334" t="n"/>
      <c r="F14" s="335" t="n"/>
      <c r="G14" s="335" t="n"/>
      <c r="H14" s="333" t="n"/>
      <c r="I14" s="336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6.5" customHeight="1" s="338">
      <c r="A15" s="331" t="n"/>
      <c r="B15" s="331" t="n"/>
      <c r="C15" s="331" t="n"/>
      <c r="D15" s="329" t="n"/>
      <c r="E15" s="329" t="n"/>
      <c r="F15" s="335" t="n"/>
      <c r="G15" s="335" t="n"/>
      <c r="H15" s="331" t="n"/>
      <c r="I15" s="33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6.5" customHeight="1" s="338">
      <c r="A16" s="333" t="n"/>
      <c r="B16" s="333" t="n"/>
      <c r="C16" s="333" t="n"/>
      <c r="D16" s="334" t="n"/>
      <c r="E16" s="334" t="n"/>
      <c r="F16" s="335" t="n"/>
      <c r="G16" s="335" t="n"/>
      <c r="H16" s="333" t="n"/>
      <c r="I16" s="336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6.5" customHeight="1" s="338">
      <c r="A17" s="331" t="n"/>
      <c r="B17" s="331" t="n"/>
      <c r="C17" s="331" t="n"/>
      <c r="D17" s="329" t="n"/>
      <c r="E17" s="329" t="n"/>
      <c r="F17" s="335" t="n"/>
      <c r="G17" s="335" t="n"/>
      <c r="H17" s="331" t="n"/>
      <c r="I17" s="33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6.5" customHeight="1" s="338">
      <c r="A18" s="333" t="n"/>
      <c r="B18" s="333" t="n"/>
      <c r="C18" s="333" t="n"/>
      <c r="D18" s="334" t="n"/>
      <c r="E18" s="334" t="n"/>
      <c r="F18" s="335" t="n"/>
      <c r="G18" s="335" t="n"/>
      <c r="H18" s="333" t="n"/>
      <c r="I18" s="336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3.5" customHeight="1" s="338">
      <c r="A20" s="386" t="inlineStr">
        <is>
          <t>★ 說明：D欄填電信費、E欄填App費 → F欄自行加總 → G欄 = F欄 ÷ 32（USDT請款金額）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3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3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3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3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3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3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3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3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3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3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3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3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3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3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3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3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3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3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3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3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3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3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3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3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3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3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3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3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3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3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3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3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3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3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3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3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3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3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3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3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3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3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3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3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3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3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3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3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3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3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3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3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3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3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3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3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3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3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3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3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3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3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3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3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3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3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3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3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3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3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3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3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3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3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3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3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3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3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3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3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3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3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3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3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3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3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3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3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3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3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3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3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3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3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3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3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3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3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3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3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3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3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3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3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3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3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3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3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3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3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3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3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3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3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3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3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3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3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3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3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3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3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3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3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3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3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3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3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3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3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3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3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3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3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3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3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3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3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3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3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3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3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3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3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3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3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3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3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3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3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3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3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3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3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3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3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3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3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3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3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3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3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3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3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3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3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3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3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3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3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3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3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3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3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3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3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3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3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3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3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3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3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3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3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3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3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3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3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3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3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3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3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3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3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3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3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3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3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3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33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33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33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33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33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33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33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33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33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33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33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33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33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33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33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33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3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33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33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33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33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33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33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33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33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33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33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33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33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33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33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33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33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33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33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33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33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33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33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33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33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33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33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33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33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33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33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33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33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33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33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33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33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33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33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33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33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33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33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33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33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33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33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33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33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33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33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33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33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33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33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33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33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33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33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33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33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33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33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33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33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33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33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33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33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33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33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33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33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33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33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33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33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33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33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33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33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33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33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33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33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33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33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33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33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33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33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33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33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33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33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33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33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33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33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33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33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33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33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33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33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33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33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33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33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33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33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33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33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33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33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33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33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33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33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33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33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33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33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33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33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33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33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33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33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33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33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33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33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33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33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33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33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33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33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33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33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33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33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33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33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33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33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33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33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33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33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33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33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33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33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33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33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33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33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33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33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33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33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33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33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33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33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33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33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33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33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33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33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33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33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33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33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33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33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33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33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33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33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33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33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33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33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33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33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33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33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33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33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33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33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33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33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33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33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3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33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33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33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33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33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33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33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33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33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33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33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33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33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33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33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33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33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33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33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33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33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33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33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33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33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33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33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33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33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33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33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33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33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33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33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33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33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33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33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33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33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33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33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33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33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33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33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33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33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33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33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33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33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33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33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33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33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33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33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33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33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33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33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33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33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33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33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33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33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33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33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33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33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33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33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33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33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33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33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33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33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33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33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33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33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33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33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33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33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33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33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33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33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33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33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33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33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33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33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3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33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33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33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33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33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33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33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33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33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33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33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33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33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33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33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33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33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33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33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33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33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33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33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33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33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33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33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33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33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33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33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33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33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33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33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33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33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33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33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33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33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33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33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33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33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33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33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33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33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33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33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33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33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33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33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33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33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33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33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33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33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33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33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33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33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33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33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33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33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33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33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33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33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33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33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33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33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33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33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33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33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33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33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33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33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33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33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33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33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33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33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33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33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33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33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33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33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33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33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3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33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33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33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33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33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33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33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33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33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33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33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33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33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33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33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33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33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33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33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33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33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33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33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33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33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33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33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33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33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33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33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33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33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33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33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33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33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33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33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33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33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33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33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33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33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33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33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33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33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33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33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33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33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33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33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33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33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33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33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33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33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33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33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33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33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33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33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33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33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33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33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33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33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33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33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33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33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33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33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33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33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33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33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33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33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33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33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33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33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33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33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33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33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33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33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33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33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33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33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3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33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33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33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33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33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33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33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33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33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33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33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33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33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33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33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33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33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33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33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33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33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33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33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33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33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33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33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33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33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33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33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33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33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33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33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33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33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33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33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33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33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33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33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33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33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33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33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33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33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33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33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33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33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33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33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33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33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33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33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33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33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33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33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33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33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33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33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33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33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33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33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33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33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33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33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33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33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33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33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33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33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33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33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33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33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33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33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33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33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33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33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33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33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33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33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33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33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33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33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3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33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33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33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33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33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33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33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33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33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33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33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33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33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33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33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33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33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33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33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33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33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33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33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33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33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33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33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33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33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33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33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33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33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33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33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33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33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33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33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33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33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33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33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33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33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33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33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33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33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33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33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33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33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33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33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33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33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33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33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33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33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33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33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33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33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33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33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33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33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33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33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33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33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33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33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33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33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33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33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33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33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33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33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33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33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33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33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33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33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33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33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33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33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33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33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33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33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33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33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3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33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33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33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33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33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33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33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33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33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33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33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33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33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33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33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33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33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33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33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33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33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33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33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33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33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33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33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33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33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33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33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33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33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33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33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33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33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33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33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33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33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33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33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33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33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33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33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33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33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33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33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33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33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33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33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33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33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33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33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33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33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33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3">
    <mergeCell ref="B6:C6"/>
    <mergeCell ref="A2:I2"/>
    <mergeCell ref="B7:C7"/>
    <mergeCell ref="G6:I6"/>
    <mergeCell ref="A10:I10"/>
    <mergeCell ref="G5:I5"/>
    <mergeCell ref="B5:C5"/>
    <mergeCell ref="B8:D8"/>
    <mergeCell ref="G7:I7"/>
    <mergeCell ref="A1:I1"/>
    <mergeCell ref="G8:I8"/>
    <mergeCell ref="A4:I4"/>
    <mergeCell ref="A20:I20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2026-05-24T05:20:00Z</dcterms:created>
  <dcterms:modified xsi:type="dcterms:W3CDTF">2026-05-28T07:49:36Z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87B1081936D2416F919B5AE06FD1A6C5_12</vt:lpwstr>
  </property>
  <property name="KSOProductBuildVer" fmtid="{D5CDD505-2E9C-101B-9397-08002B2CF9AE}" pid="3">
    <vt:lpwstr>3076-12.1.0.26372</vt:lpwstr>
  </property>
  <property name="CalculationRule" fmtid="{D5CDD505-2E9C-101B-9397-08002B2CF9AE}" pid="4">
    <vt:i4>0</vt:i4>
  </property>
</Properties>
</file>